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trategiclandmanagementllc-my.sharepoint.com/personal/shannon_wise_strategiclandmgmt_com/Documents/MSA GOLDEN CORNER COMMUNICATION/"/>
    </mc:Choice>
  </mc:AlternateContent>
  <xr:revisionPtr revIDLastSave="0" documentId="8_{4A2DB817-D4D0-4646-BCC5-DA4C93DB688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rew Roster" sheetId="1" r:id="rId1"/>
    <sheet name="Crew 1 Timesheet" sheetId="2" r:id="rId2"/>
    <sheet name="Crew 2 Timesheet" sheetId="3" r:id="rId3"/>
    <sheet name="Crew 3 TimeSheet" sheetId="4" r:id="rId4"/>
    <sheet name="Rates (GCC Exhibit A)" sheetId="5" r:id="rId5"/>
  </sheets>
  <definedNames>
    <definedName name="EquipmentList">'Rates (GCC Exhibit A)'!$A$14:$A$59</definedName>
    <definedName name="EquipmentRateTable">'Rates (GCC Exhibit A)'!$A$14:$B$59</definedName>
    <definedName name="LaborClassList">'Rates (GCC Exhibit A)'!$A$3:$A$10</definedName>
    <definedName name="LaborRateTable">'Rates (GCC Exhibit A)'!$A$2:$D$10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" i="4" l="1"/>
  <c r="AA16" i="4"/>
  <c r="AB16" i="4"/>
  <c r="AC16" i="4"/>
  <c r="Z17" i="4"/>
  <c r="AC17" i="4" s="1"/>
  <c r="AA17" i="4"/>
  <c r="AB17" i="4"/>
  <c r="Z18" i="4"/>
  <c r="AC18" i="4" s="1"/>
  <c r="AA18" i="4"/>
  <c r="AB18" i="4"/>
  <c r="Z19" i="4"/>
  <c r="AA19" i="4"/>
  <c r="AA28" i="4" s="1"/>
  <c r="AB19" i="4"/>
  <c r="AB28" i="4" s="1"/>
  <c r="Z20" i="4"/>
  <c r="AA20" i="4"/>
  <c r="AB20" i="4"/>
  <c r="AC20" i="4"/>
  <c r="Z21" i="4"/>
  <c r="AA21" i="4"/>
  <c r="AB21" i="4"/>
  <c r="AC21" i="4"/>
  <c r="Z22" i="4"/>
  <c r="AA22" i="4"/>
  <c r="AB22" i="4"/>
  <c r="AC22" i="4" s="1"/>
  <c r="Z23" i="4"/>
  <c r="AA23" i="4"/>
  <c r="AC23" i="4" s="1"/>
  <c r="AB23" i="4"/>
  <c r="Z24" i="4"/>
  <c r="AA24" i="4"/>
  <c r="AB24" i="4"/>
  <c r="AC24" i="4"/>
  <c r="Z25" i="4"/>
  <c r="AA25" i="4"/>
  <c r="AB25" i="4"/>
  <c r="AC25" i="4"/>
  <c r="Z26" i="4"/>
  <c r="AC26" i="4" s="1"/>
  <c r="AA26" i="4"/>
  <c r="AB26" i="4"/>
  <c r="Z27" i="4"/>
  <c r="AA27" i="4"/>
  <c r="AC27" i="4" s="1"/>
  <c r="AB27" i="4"/>
  <c r="C28" i="4"/>
  <c r="D28" i="4"/>
  <c r="E28" i="4"/>
  <c r="F28" i="4"/>
  <c r="G28" i="4"/>
  <c r="H28" i="4"/>
  <c r="I28" i="4"/>
  <c r="J28" i="4"/>
  <c r="L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J34" i="4"/>
  <c r="L34" i="4" s="1"/>
  <c r="L43" i="4" s="1"/>
  <c r="K34" i="4"/>
  <c r="J35" i="4"/>
  <c r="K35" i="4"/>
  <c r="L35" i="4" s="1"/>
  <c r="J36" i="4"/>
  <c r="L36" i="4" s="1"/>
  <c r="K36" i="4"/>
  <c r="J37" i="4"/>
  <c r="L37" i="4" s="1"/>
  <c r="K37" i="4"/>
  <c r="J38" i="4"/>
  <c r="K38" i="4"/>
  <c r="L38" i="4" s="1"/>
  <c r="J39" i="4"/>
  <c r="K39" i="4"/>
  <c r="L39" i="4" s="1"/>
  <c r="J40" i="4"/>
  <c r="K40" i="4"/>
  <c r="L40" i="4" s="1"/>
  <c r="J41" i="4"/>
  <c r="J43" i="4" s="1"/>
  <c r="K41" i="4"/>
  <c r="L41" i="4" s="1"/>
  <c r="J42" i="4"/>
  <c r="K42" i="4"/>
  <c r="L42" i="4" s="1"/>
  <c r="C43" i="4"/>
  <c r="D43" i="4"/>
  <c r="E43" i="4"/>
  <c r="F43" i="4"/>
  <c r="G43" i="4"/>
  <c r="H43" i="4"/>
  <c r="I43" i="4"/>
  <c r="M43" i="4"/>
  <c r="I43" i="3"/>
  <c r="H43" i="3"/>
  <c r="G43" i="3"/>
  <c r="F43" i="3"/>
  <c r="E43" i="3"/>
  <c r="D43" i="3"/>
  <c r="C43" i="3"/>
  <c r="K42" i="3"/>
  <c r="J42" i="3"/>
  <c r="L42" i="3" s="1"/>
  <c r="K41" i="3"/>
  <c r="L41" i="3" s="1"/>
  <c r="J41" i="3"/>
  <c r="K40" i="3"/>
  <c r="L40" i="3" s="1"/>
  <c r="J40" i="3"/>
  <c r="K39" i="3"/>
  <c r="L39" i="3" s="1"/>
  <c r="J39" i="3"/>
  <c r="K38" i="3"/>
  <c r="L38" i="3" s="1"/>
  <c r="J38" i="3"/>
  <c r="L37" i="3"/>
  <c r="K37" i="3"/>
  <c r="J37" i="3"/>
  <c r="K36" i="3"/>
  <c r="J36" i="3"/>
  <c r="L36" i="3" s="1"/>
  <c r="K35" i="3"/>
  <c r="J35" i="3"/>
  <c r="L35" i="3" s="1"/>
  <c r="K34" i="3"/>
  <c r="J34" i="3"/>
  <c r="J43" i="3" s="1"/>
  <c r="Y28" i="3"/>
  <c r="X28" i="3"/>
  <c r="W28" i="3"/>
  <c r="V28" i="3"/>
  <c r="U28" i="3"/>
  <c r="T28" i="3"/>
  <c r="S28" i="3"/>
  <c r="R28" i="3"/>
  <c r="Q28" i="3"/>
  <c r="P28" i="3"/>
  <c r="O28" i="3"/>
  <c r="N28" i="3"/>
  <c r="L28" i="3"/>
  <c r="J28" i="3"/>
  <c r="M43" i="3" s="1"/>
  <c r="I28" i="3"/>
  <c r="H28" i="3"/>
  <c r="G28" i="3"/>
  <c r="F28" i="3"/>
  <c r="E28" i="3"/>
  <c r="D28" i="3"/>
  <c r="C28" i="3"/>
  <c r="AB27" i="3"/>
  <c r="AA27" i="3"/>
  <c r="Z27" i="3"/>
  <c r="AC27" i="3" s="1"/>
  <c r="AB26" i="3"/>
  <c r="AA26" i="3"/>
  <c r="AC26" i="3" s="1"/>
  <c r="Z26" i="3"/>
  <c r="AB25" i="3"/>
  <c r="AC25" i="3" s="1"/>
  <c r="AA25" i="3"/>
  <c r="Z25" i="3"/>
  <c r="AB24" i="3"/>
  <c r="AA24" i="3"/>
  <c r="Z24" i="3"/>
  <c r="AC24" i="3" s="1"/>
  <c r="AB23" i="3"/>
  <c r="AA23" i="3"/>
  <c r="Z23" i="3"/>
  <c r="AC23" i="3" s="1"/>
  <c r="AB22" i="3"/>
  <c r="AA22" i="3"/>
  <c r="AC22" i="3" s="1"/>
  <c r="Z22" i="3"/>
  <c r="AB21" i="3"/>
  <c r="AC21" i="3" s="1"/>
  <c r="AA21" i="3"/>
  <c r="Z21" i="3"/>
  <c r="AB20" i="3"/>
  <c r="AA20" i="3"/>
  <c r="Z20" i="3"/>
  <c r="AC20" i="3" s="1"/>
  <c r="AB19" i="3"/>
  <c r="AA19" i="3"/>
  <c r="Z19" i="3"/>
  <c r="AC19" i="3" s="1"/>
  <c r="AB18" i="3"/>
  <c r="AA18" i="3"/>
  <c r="AC18" i="3" s="1"/>
  <c r="Z18" i="3"/>
  <c r="AB17" i="3"/>
  <c r="AA17" i="3"/>
  <c r="Z17" i="3"/>
  <c r="AB16" i="3"/>
  <c r="AA16" i="3"/>
  <c r="Z16" i="3"/>
  <c r="I43" i="2"/>
  <c r="H43" i="2"/>
  <c r="G43" i="2"/>
  <c r="F43" i="2"/>
  <c r="E43" i="2"/>
  <c r="D43" i="2"/>
  <c r="C43" i="2"/>
  <c r="K42" i="2"/>
  <c r="J42" i="2"/>
  <c r="L42" i="2" s="1"/>
  <c r="K41" i="2"/>
  <c r="J41" i="2"/>
  <c r="L41" i="2" s="1"/>
  <c r="K40" i="2"/>
  <c r="J40" i="2"/>
  <c r="L40" i="2" s="1"/>
  <c r="K39" i="2"/>
  <c r="J39" i="2"/>
  <c r="L39" i="2" s="1"/>
  <c r="K38" i="2"/>
  <c r="J38" i="2"/>
  <c r="L38" i="2" s="1"/>
  <c r="L37" i="2"/>
  <c r="K37" i="2"/>
  <c r="J37" i="2"/>
  <c r="K36" i="2"/>
  <c r="J36" i="2"/>
  <c r="L36" i="2" s="1"/>
  <c r="K35" i="2"/>
  <c r="J35" i="2"/>
  <c r="L35" i="2" s="1"/>
  <c r="K34" i="2"/>
  <c r="J34" i="2"/>
  <c r="J43" i="2" s="1"/>
  <c r="Y28" i="2"/>
  <c r="X28" i="2"/>
  <c r="W28" i="2"/>
  <c r="V28" i="2"/>
  <c r="U28" i="2"/>
  <c r="T28" i="2"/>
  <c r="S28" i="2"/>
  <c r="R28" i="2"/>
  <c r="Q28" i="2"/>
  <c r="P28" i="2"/>
  <c r="O28" i="2"/>
  <c r="N28" i="2"/>
  <c r="L28" i="2"/>
  <c r="J28" i="2"/>
  <c r="M43" i="2" s="1"/>
  <c r="I28" i="2"/>
  <c r="H28" i="2"/>
  <c r="G28" i="2"/>
  <c r="F28" i="2"/>
  <c r="E28" i="2"/>
  <c r="D28" i="2"/>
  <c r="C28" i="2"/>
  <c r="AB27" i="2"/>
  <c r="AA27" i="2"/>
  <c r="Z27" i="2"/>
  <c r="AC27" i="2" s="1"/>
  <c r="AB26" i="2"/>
  <c r="AA26" i="2"/>
  <c r="Z26" i="2"/>
  <c r="AC26" i="2" s="1"/>
  <c r="AB25" i="2"/>
  <c r="AA25" i="2"/>
  <c r="Z25" i="2"/>
  <c r="AC25" i="2" s="1"/>
  <c r="AB24" i="2"/>
  <c r="AA24" i="2"/>
  <c r="Z24" i="2"/>
  <c r="AC24" i="2" s="1"/>
  <c r="AB23" i="2"/>
  <c r="AA23" i="2"/>
  <c r="Z23" i="2"/>
  <c r="AC23" i="2" s="1"/>
  <c r="AB22" i="2"/>
  <c r="AA22" i="2"/>
  <c r="Z22" i="2"/>
  <c r="AC22" i="2" s="1"/>
  <c r="AB21" i="2"/>
  <c r="AA21" i="2"/>
  <c r="Z21" i="2"/>
  <c r="AC21" i="2" s="1"/>
  <c r="AB20" i="2"/>
  <c r="AA20" i="2"/>
  <c r="Z20" i="2"/>
  <c r="AC20" i="2" s="1"/>
  <c r="AB19" i="2"/>
  <c r="AA19" i="2"/>
  <c r="Z19" i="2"/>
  <c r="AC19" i="2" s="1"/>
  <c r="AB18" i="2"/>
  <c r="AA18" i="2"/>
  <c r="Z18" i="2"/>
  <c r="AC18" i="2" s="1"/>
  <c r="AB17" i="2"/>
  <c r="AA17" i="2"/>
  <c r="Z17" i="2"/>
  <c r="AC17" i="2" s="1"/>
  <c r="AB16" i="2"/>
  <c r="AA16" i="2"/>
  <c r="Z16" i="2"/>
  <c r="AC16" i="2" s="1"/>
  <c r="AC19" i="4" l="1"/>
  <c r="AC28" i="4" s="1"/>
  <c r="AB28" i="3"/>
  <c r="Z28" i="3"/>
  <c r="AB28" i="2"/>
  <c r="AA28" i="3"/>
  <c r="AA28" i="2"/>
  <c r="AC28" i="2"/>
  <c r="Z28" i="2"/>
  <c r="L34" i="2"/>
  <c r="L43" i="2" s="1"/>
  <c r="AC16" i="3"/>
  <c r="AC17" i="3"/>
  <c r="L34" i="3"/>
  <c r="L43" i="3" s="1"/>
  <c r="AC28" i="3" l="1"/>
</calcChain>
</file>

<file path=xl/sharedStrings.xml><?xml version="1.0" encoding="utf-8"?>
<sst xmlns="http://schemas.openxmlformats.org/spreadsheetml/2006/main" count="712" uniqueCount="263">
  <si>
    <t>Project Name:</t>
  </si>
  <si>
    <t>Ice Storm Fern</t>
  </si>
  <si>
    <t>Date: 01-25-2026</t>
  </si>
  <si>
    <t>Subcontractor Company:</t>
  </si>
  <si>
    <t>Strategic Land Management LLC</t>
  </si>
  <si>
    <t xml:space="preserve">Crew Type: Bucket / Skid Steer </t>
  </si>
  <si>
    <t>Full Legal Name</t>
  </si>
  <si>
    <t>Position / Classification</t>
  </si>
  <si>
    <t>Phone Number</t>
  </si>
  <si>
    <t>Email Address</t>
  </si>
  <si>
    <t>Crews</t>
  </si>
  <si>
    <t>State Issued ID #</t>
  </si>
  <si>
    <t>Crew #</t>
  </si>
  <si>
    <t>Mobilized Date</t>
  </si>
  <si>
    <t>Start Working Date</t>
  </si>
  <si>
    <t>Company</t>
  </si>
  <si>
    <t>Equipment Assigned</t>
  </si>
  <si>
    <t>Last Day on Job</t>
  </si>
  <si>
    <t xml:space="preserve">Brian Wise </t>
  </si>
  <si>
    <t>General Foreman</t>
  </si>
  <si>
    <t>706-351-2436</t>
  </si>
  <si>
    <t>bwwise38@gmail.com</t>
  </si>
  <si>
    <t>Crew 1</t>
  </si>
  <si>
    <t xml:space="preserve">Strategic Land Management </t>
  </si>
  <si>
    <t>Bucket Truck</t>
  </si>
  <si>
    <t xml:space="preserve">Richard Hernadez </t>
  </si>
  <si>
    <t>Trimmer A</t>
  </si>
  <si>
    <t>706-571-5895</t>
  </si>
  <si>
    <t xml:space="preserve">Johnny Person </t>
  </si>
  <si>
    <t>Equipment Operator A</t>
  </si>
  <si>
    <t>706-840-8579</t>
  </si>
  <si>
    <t>Keith J. Ferrell</t>
  </si>
  <si>
    <t>Foreman</t>
  </si>
  <si>
    <t>706-341-6460</t>
  </si>
  <si>
    <t>keithferrell118@gmail.com</t>
  </si>
  <si>
    <t>Crew 2</t>
  </si>
  <si>
    <t>Rayden Jerrgan</t>
  </si>
  <si>
    <t>.34-739-0328</t>
  </si>
  <si>
    <t>williehurst589@gmail.com</t>
  </si>
  <si>
    <t>Joes Dilenardo</t>
  </si>
  <si>
    <t>762-241-7433</t>
  </si>
  <si>
    <t>ethanlakeman@gmail.com</t>
  </si>
  <si>
    <t>Will Peebles</t>
  </si>
  <si>
    <t>762-241-8246</t>
  </si>
  <si>
    <t>willpeebles247@gmail.com</t>
  </si>
  <si>
    <t>Crew 3</t>
  </si>
  <si>
    <t>Damon Williamson</t>
  </si>
  <si>
    <t>706-392-6632</t>
  </si>
  <si>
    <t>williamsondamon844@gmail.com</t>
  </si>
  <si>
    <t>Joel Perez</t>
  </si>
  <si>
    <t>762-580-5558</t>
  </si>
  <si>
    <t>TIM G. Hurst</t>
  </si>
  <si>
    <t>hurst0902@gmail.com</t>
  </si>
  <si>
    <t>Crew 4</t>
  </si>
  <si>
    <t xml:space="preserve">Kenneth Robbins </t>
  </si>
  <si>
    <t>706-786-7995</t>
  </si>
  <si>
    <t>Johnny Williams</t>
  </si>
  <si>
    <t>706-786-7992</t>
  </si>
  <si>
    <t>Willie Hurst (Jr.)</t>
  </si>
  <si>
    <t>706-588-7043</t>
  </si>
  <si>
    <t>Skid Steer</t>
  </si>
  <si>
    <t>William Humber</t>
  </si>
  <si>
    <t>Richard Cave</t>
  </si>
  <si>
    <t>Joesph Howie Kersey</t>
  </si>
  <si>
    <t>478-957-8979</t>
  </si>
  <si>
    <t>John Owens</t>
  </si>
  <si>
    <t>478-697-7576</t>
  </si>
  <si>
    <t>Glen Herndon</t>
  </si>
  <si>
    <t>478-595-4429</t>
  </si>
  <si>
    <t xml:space="preserve">Johnnie Allen </t>
  </si>
  <si>
    <t>478-494-6265</t>
  </si>
  <si>
    <t>Kaleb Allen</t>
  </si>
  <si>
    <t>478-484-0707</t>
  </si>
  <si>
    <t>Michael Roberts</t>
  </si>
  <si>
    <t>478-349-9825</t>
  </si>
  <si>
    <t xml:space="preserve">Tim Spivey </t>
  </si>
  <si>
    <t>478-697-7119</t>
  </si>
  <si>
    <t xml:space="preserve">Shawn Duncan </t>
  </si>
  <si>
    <t>910-712-3276</t>
  </si>
  <si>
    <t>Ethan Oxley</t>
  </si>
  <si>
    <t>478-285-2596</t>
  </si>
  <si>
    <t>James Wilson</t>
  </si>
  <si>
    <t>478-290-7036</t>
  </si>
  <si>
    <t xml:space="preserve">Shea Powell </t>
  </si>
  <si>
    <t>478-559-9535</t>
  </si>
  <si>
    <t xml:space="preserve">Mason Clark </t>
  </si>
  <si>
    <t>478-331-8380</t>
  </si>
  <si>
    <t>Strategic Land Management LLC | GCC | Ice Storm Timesheets - Crew 1</t>
  </si>
  <si>
    <t>PAGE</t>
  </si>
  <si>
    <t>OF</t>
  </si>
  <si>
    <t>Distribution Line</t>
  </si>
  <si>
    <t>Distribution Vegetation</t>
  </si>
  <si>
    <t>Damage Assessment</t>
  </si>
  <si>
    <t>Transmission Line</t>
  </si>
  <si>
    <t>Transmission Vegetation</t>
  </si>
  <si>
    <t>Transmission Substation</t>
  </si>
  <si>
    <t>Transmission Relay</t>
  </si>
  <si>
    <t>Contractor Company:</t>
  </si>
  <si>
    <t>Golden Corner Communications, LLC</t>
  </si>
  <si>
    <t>Mobilized:</t>
  </si>
  <si>
    <t>Contractor Foreman/Lead:</t>
  </si>
  <si>
    <t>Week Ending:</t>
  </si>
  <si>
    <t>Contr. Supv/GF Name:</t>
  </si>
  <si>
    <t>Start Work:</t>
  </si>
  <si>
    <t>Contr. Foreman/Lead Signature:</t>
  </si>
  <si>
    <t>GCC Crew ID#:</t>
  </si>
  <si>
    <t>Contr. Supv/GF Phone:</t>
  </si>
  <si>
    <t>GCC Representative:</t>
  </si>
  <si>
    <t>Base Camp:</t>
  </si>
  <si>
    <t>Foreman/Lead Phone:</t>
  </si>
  <si>
    <t>Brian Wise</t>
  </si>
  <si>
    <t>GCC Representative Signature:</t>
  </si>
  <si>
    <t>(Location)</t>
  </si>
  <si>
    <t>Storm Event: Ice Storm | Straight Time does NOT apply. Use OT up to 16 hrs/day; DT after 16 hrs and on Sat/Sun/Holidays.</t>
  </si>
  <si>
    <t>Sunday</t>
  </si>
  <si>
    <t>Monday</t>
  </si>
  <si>
    <t>Tuesday</t>
  </si>
  <si>
    <t>Wednesday</t>
  </si>
  <si>
    <t>Thursday</t>
  </si>
  <si>
    <t>Friday</t>
  </si>
  <si>
    <t>Saturday</t>
  </si>
  <si>
    <t>Date:</t>
  </si>
  <si>
    <t>01/25/2026</t>
  </si>
  <si>
    <t>01/26/2026</t>
  </si>
  <si>
    <t>01/27/2026</t>
  </si>
  <si>
    <t>01/28/2026</t>
  </si>
  <si>
    <t>01/29/2026</t>
  </si>
  <si>
    <t>01/30/2026</t>
  </si>
  <si>
    <t>01/31/2026</t>
  </si>
  <si>
    <t>Total Hours</t>
  </si>
  <si>
    <t>Total Cost Labor</t>
  </si>
  <si>
    <t>Start Time:</t>
  </si>
  <si>
    <t>Stop Time:</t>
  </si>
  <si>
    <t xml:space="preserve">Name </t>
  </si>
  <si>
    <t>Job Classification</t>
  </si>
  <si>
    <t>ST Hrs</t>
  </si>
  <si>
    <t>OT Hrs</t>
  </si>
  <si>
    <t>DT Hrs</t>
  </si>
  <si>
    <t>Foreman A</t>
  </si>
  <si>
    <t>Equipment Operator</t>
  </si>
  <si>
    <t xml:space="preserve">Keith Ferrell </t>
  </si>
  <si>
    <t xml:space="preserve">Willie Hurst </t>
  </si>
  <si>
    <t>** Approval needed from GCC Representative to work over 16 hrs/day. DT use requires notification to GCC Representative on site.  If contractor goes on DT, they must take required rest break to ensure DT is not continued the following day.</t>
  </si>
  <si>
    <t>Sun</t>
  </si>
  <si>
    <t>Mon</t>
  </si>
  <si>
    <t>Tues</t>
  </si>
  <si>
    <t>Wed</t>
  </si>
  <si>
    <t>Thur</t>
  </si>
  <si>
    <t>Fri</t>
  </si>
  <si>
    <t>Sat</t>
  </si>
  <si>
    <t>Comments/Additional Data to Report:</t>
  </si>
  <si>
    <t>Equipment Type</t>
  </si>
  <si>
    <t>Equipment ID#</t>
  </si>
  <si>
    <t>Hrs</t>
  </si>
  <si>
    <t>Total Hrs</t>
  </si>
  <si>
    <t>Rates</t>
  </si>
  <si>
    <t xml:space="preserve">Total Cost </t>
  </si>
  <si>
    <t xml:space="preserve"> </t>
  </si>
  <si>
    <t>2x4 Aerial Lift 70+'</t>
  </si>
  <si>
    <t xml:space="preserve">AL270 </t>
  </si>
  <si>
    <t>Skid Steer Loader</t>
  </si>
  <si>
    <t xml:space="preserve">SSL </t>
  </si>
  <si>
    <t>Equipment Trailer</t>
  </si>
  <si>
    <t xml:space="preserve">TRL </t>
  </si>
  <si>
    <t>4x4 Pickup Crew Cab</t>
  </si>
  <si>
    <t>PU4CC</t>
  </si>
  <si>
    <t>Transmission Contractors ONLY:  Please provide Structure Numbers completed for the week:</t>
  </si>
  <si>
    <t>Labor Rates (2026)</t>
  </si>
  <si>
    <t>Classification</t>
  </si>
  <si>
    <t>ST</t>
  </si>
  <si>
    <t>OT</t>
  </si>
  <si>
    <t>DT</t>
  </si>
  <si>
    <t>Foreman B</t>
  </si>
  <si>
    <t>Trimmer B</t>
  </si>
  <si>
    <t>Trimmer C</t>
  </si>
  <si>
    <t>Learner</t>
  </si>
  <si>
    <t>Equipment Rates (Hourly)</t>
  </si>
  <si>
    <t>EquipmentRates</t>
  </si>
  <si>
    <t>Rate (HR)</t>
  </si>
  <si>
    <t>2x4 Aerial Lift 30–37'</t>
  </si>
  <si>
    <t>2x4 Aerial Lift 50–57' w/winch</t>
  </si>
  <si>
    <t>2x4 Spray Truck</t>
  </si>
  <si>
    <t>2x4 Aerial Lift 50–57' w/o dump</t>
  </si>
  <si>
    <t>2x4 Aerial Lift 50–57'</t>
  </si>
  <si>
    <t>2x4 Aerial Lift 50–57' Diesel</t>
  </si>
  <si>
    <t>2x4 Aerial Lift Rev Mnt w/float tires</t>
  </si>
  <si>
    <t>2x4 Split Dump</t>
  </si>
  <si>
    <t>2x4 Split Dump Diesel</t>
  </si>
  <si>
    <t>4x4 Aerial Lift 30–37'</t>
  </si>
  <si>
    <t>4x4 Aerial Lift 57' Paddlefoot</t>
  </si>
  <si>
    <t>4x4 Aerial Lift 57' w/o dump</t>
  </si>
  <si>
    <t>2x4 Pickup Crew Cab</t>
  </si>
  <si>
    <t>4x4 Pickup &lt;1 Ton</t>
  </si>
  <si>
    <t>2x4 Pickup &lt;1 Ton</t>
  </si>
  <si>
    <t>4x4 Aerial Lift 70'+ w/winch</t>
  </si>
  <si>
    <t>4x4 Aerial Lift 50–57'</t>
  </si>
  <si>
    <t>4x4 Aerial Lift 50–57' Diesel</t>
  </si>
  <si>
    <t>4x4 Scissor Lift Paddlefoot</t>
  </si>
  <si>
    <t>4x4 Skidder Bucket 50–55'</t>
  </si>
  <si>
    <t>4x4 Split Dump</t>
  </si>
  <si>
    <t>4x4 Split Dump Diesel</t>
  </si>
  <si>
    <t>4x4 Tractor 5–6' hog w/winch</t>
  </si>
  <si>
    <t>ATV</t>
  </si>
  <si>
    <t>Aerial Lift 42'+ Backyard</t>
  </si>
  <si>
    <t>Brown Monitor Mower/Sprayer</t>
  </si>
  <si>
    <t>Brush Cutter – Flail Mower</t>
  </si>
  <si>
    <t>Rubber Tired Feller Buncher</t>
  </si>
  <si>
    <t>Prentice Loader</t>
  </si>
  <si>
    <t>Marsh Master</t>
  </si>
  <si>
    <t>Rollback w/20' bed</t>
  </si>
  <si>
    <t>UTV</t>
  </si>
  <si>
    <t>Rubber Tired Mech. Trimmer 70'</t>
  </si>
  <si>
    <t>Skid Steer Mower</t>
  </si>
  <si>
    <t>Stump Grinder</t>
  </si>
  <si>
    <t>Tracked Excavator – Feller Buncher</t>
  </si>
  <si>
    <t>4x4 Spray Truck</t>
  </si>
  <si>
    <t>Tracked Mech Trimmer 70'</t>
  </si>
  <si>
    <t>Tractor &amp; Lowboy</t>
  </si>
  <si>
    <t>Tracked Excavator – Fecon</t>
  </si>
  <si>
    <t>Tracked Excavator – Slash Buster</t>
  </si>
  <si>
    <t>Argo</t>
  </si>
  <si>
    <t>Equipment ID</t>
  </si>
  <si>
    <t>AL = Aerial Lift</t>
  </si>
  <si>
    <t>SD = Split Dump</t>
  </si>
  <si>
    <t>PU = Pickup</t>
  </si>
  <si>
    <t>SSL = Skid Steer Loader</t>
  </si>
  <si>
    <t>ST = Spray Truck</t>
  </si>
  <si>
    <t>TRL = Trailer</t>
  </si>
  <si>
    <t>TRK = Tractor</t>
  </si>
  <si>
    <t>EX = Excavator</t>
  </si>
  <si>
    <t>MT = Mechanical Trimmer</t>
  </si>
  <si>
    <t>FB = Feller Buncher</t>
  </si>
  <si>
    <t>MM = Marsh Master</t>
  </si>
  <si>
    <t>RB = Rollback</t>
  </si>
  <si>
    <t>SG   = Stump Grinder</t>
  </si>
  <si>
    <t>BC   = Brush Cutter</t>
  </si>
  <si>
    <t>BM   = Brown Monitor</t>
  </si>
  <si>
    <t>UTV  = Utility Terrain Vehicle</t>
  </si>
  <si>
    <t>ATV  = All Terrain Vehicle</t>
  </si>
  <si>
    <t>PL   = Prentice Loader</t>
  </si>
  <si>
    <t>ARGO = Argo</t>
  </si>
  <si>
    <t>LB   = Lowboy</t>
  </si>
  <si>
    <t>Equipment Name</t>
  </si>
  <si>
    <t>AL270</t>
  </si>
  <si>
    <t>SSL</t>
  </si>
  <si>
    <t>TRL</t>
  </si>
  <si>
    <t xml:space="preserve">            Rate</t>
  </si>
  <si>
    <t>Richard Herndez</t>
  </si>
  <si>
    <t>John Pearson</t>
  </si>
  <si>
    <t>Josh Dilendardo</t>
  </si>
  <si>
    <t>Johnny Williamson</t>
  </si>
  <si>
    <t>Tim Hurst</t>
  </si>
  <si>
    <t>Willie Humber</t>
  </si>
  <si>
    <t xml:space="preserve">Joel Perez </t>
  </si>
  <si>
    <t>Jonnie Allen</t>
  </si>
  <si>
    <t>Howie Kersey</t>
  </si>
  <si>
    <t xml:space="preserve">Glen Herndon </t>
  </si>
  <si>
    <t>Wayne Ownes</t>
  </si>
  <si>
    <t>Rayden Jerrigan</t>
  </si>
  <si>
    <t xml:space="preserve">MOB/DEMOB 1 CREWS $3000 </t>
  </si>
  <si>
    <t xml:space="preserve">MOB/DEM  Crew 2 $3000     </t>
  </si>
  <si>
    <t xml:space="preserve">MOB/DEM CREW 3 AND 4  $6000 </t>
  </si>
  <si>
    <t>30 ppl x $60 per meals =$1800.00  PER DIEM $100 X 30 PPL =$3000 TOTAL DUE FOR FOOD AND PERDIEM $48000.00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</si>
</sst>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m/d/yy;@"/>
    <numFmt numFmtId="166" formatCode="m/d;@"/>
    <numFmt numFmtId="167" formatCode="&quot;$&quot;#,##0.00"/>
  </numFmts>
  <fonts count="2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b/>
      <sz val="20"/>
      <color theme="1"/>
      <name val="Arial Narrow"/>
      <family val="2"/>
    </font>
    <font>
      <sz val="20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3"/>
      <color theme="1"/>
      <name val="Arial Narrow"/>
      <family val="2"/>
    </font>
    <font>
      <sz val="13"/>
      <color theme="1"/>
      <name val="Arial Narrow"/>
      <family val="2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b/>
      <sz val="9"/>
      <name val="Arial Narrow"/>
      <family val="2"/>
    </font>
    <font>
      <sz val="10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rial Narrow"/>
      <family val="2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sz val="11"/>
      <name val="Arial Narrow"/>
      <family val="2"/>
    </font>
    <font>
      <sz val="9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8"/>
      <color theme="1"/>
      <name val="Calibri"/>
      <family val="2"/>
      <scheme val="minor"/>
    </font>
    <font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5" fillId="0" borderId="0" xfId="0" applyFont="1"/>
    <xf numFmtId="0" fontId="5" fillId="0" borderId="1" xfId="0" applyFont="1" applyBorder="1"/>
    <xf numFmtId="0" fontId="5" fillId="0" borderId="0" xfId="0" applyFont="1" applyAlignment="1">
      <alignment horizontal="center"/>
    </xf>
    <xf numFmtId="0" fontId="0" fillId="0" borderId="2" xfId="0" applyBorder="1"/>
    <xf numFmtId="0" fontId="0" fillId="3" borderId="3" xfId="0" applyFill="1" applyBorder="1" applyAlignment="1">
      <alignment horizontal="centerContinuous"/>
    </xf>
    <xf numFmtId="0" fontId="0" fillId="3" borderId="4" xfId="0" applyFill="1" applyBorder="1" applyAlignment="1">
      <alignment horizontal="centerContinuous"/>
    </xf>
    <xf numFmtId="0" fontId="0" fillId="0" borderId="5" xfId="0" applyBorder="1"/>
    <xf numFmtId="0" fontId="0" fillId="4" borderId="6" xfId="0" applyFill="1" applyBorder="1" applyAlignment="1">
      <alignment horizontal="centerContinuous"/>
    </xf>
    <xf numFmtId="0" fontId="0" fillId="4" borderId="3" xfId="0" applyFill="1" applyBorder="1" applyAlignment="1">
      <alignment horizontal="centerContinuous"/>
    </xf>
    <xf numFmtId="0" fontId="0" fillId="4" borderId="4" xfId="0" applyFill="1" applyBorder="1" applyAlignment="1">
      <alignment horizontal="centerContinuous"/>
    </xf>
    <xf numFmtId="0" fontId="0" fillId="5" borderId="3" xfId="0" applyFill="1" applyBorder="1" applyAlignment="1">
      <alignment horizontal="centerContinuous"/>
    </xf>
    <xf numFmtId="0" fontId="0" fillId="5" borderId="4" xfId="0" applyFill="1" applyBorder="1" applyAlignment="1">
      <alignment horizontal="centerContinuous"/>
    </xf>
    <xf numFmtId="0" fontId="0" fillId="0" borderId="7" xfId="0" applyBorder="1"/>
    <xf numFmtId="0" fontId="0" fillId="5" borderId="6" xfId="0" applyFill="1" applyBorder="1" applyAlignment="1">
      <alignment horizontal="centerContinuous"/>
    </xf>
    <xf numFmtId="0" fontId="0" fillId="0" borderId="8" xfId="0" applyBorder="1"/>
    <xf numFmtId="0" fontId="6" fillId="0" borderId="9" xfId="0" applyFont="1" applyBorder="1" applyAlignment="1">
      <alignment horizontal="right"/>
    </xf>
    <xf numFmtId="0" fontId="7" fillId="0" borderId="3" xfId="0" applyFont="1" applyBorder="1" applyAlignment="1">
      <alignment horizontal="centerContinuous"/>
    </xf>
    <xf numFmtId="0" fontId="6" fillId="0" borderId="3" xfId="0" applyFont="1" applyBorder="1"/>
    <xf numFmtId="0" fontId="7" fillId="0" borderId="10" xfId="0" applyFont="1" applyBorder="1"/>
    <xf numFmtId="0" fontId="6" fillId="0" borderId="11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164" fontId="7" fillId="0" borderId="11" xfId="0" applyNumberFormat="1" applyFont="1" applyBorder="1" applyAlignment="1">
      <alignment horizontal="right"/>
    </xf>
    <xf numFmtId="0" fontId="6" fillId="0" borderId="3" xfId="0" applyFont="1" applyBorder="1" applyAlignment="1">
      <alignment horizontal="centerContinuous"/>
    </xf>
    <xf numFmtId="0" fontId="6" fillId="0" borderId="9" xfId="0" applyFont="1" applyBorder="1"/>
    <xf numFmtId="0" fontId="7" fillId="0" borderId="11" xfId="0" applyFont="1" applyBorder="1"/>
    <xf numFmtId="14" fontId="7" fillId="0" borderId="3" xfId="0" applyNumberFormat="1" applyFont="1" applyBorder="1" applyAlignment="1">
      <alignment horizontal="centerContinuous"/>
    </xf>
    <xf numFmtId="0" fontId="8" fillId="0" borderId="3" xfId="0" applyFont="1" applyBorder="1" applyAlignment="1">
      <alignment horizontal="centerContinuous"/>
    </xf>
    <xf numFmtId="0" fontId="8" fillId="0" borderId="4" xfId="0" applyFont="1" applyBorder="1" applyAlignment="1">
      <alignment horizontal="centerContinuous"/>
    </xf>
    <xf numFmtId="0" fontId="6" fillId="0" borderId="12" xfId="0" applyFont="1" applyBorder="1" applyAlignment="1">
      <alignment horizontal="right"/>
    </xf>
    <xf numFmtId="0" fontId="7" fillId="0" borderId="13" xfId="0" applyFont="1" applyBorder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7" fillId="0" borderId="8" xfId="0" applyFont="1" applyBorder="1" applyAlignment="1">
      <alignment horizontal="centerContinuous"/>
    </xf>
    <xf numFmtId="0" fontId="6" fillId="0" borderId="12" xfId="0" applyFont="1" applyBorder="1"/>
    <xf numFmtId="0" fontId="7" fillId="0" borderId="0" xfId="0" applyFont="1"/>
    <xf numFmtId="0" fontId="6" fillId="0" borderId="14" xfId="0" applyFont="1" applyBorder="1" applyAlignment="1">
      <alignment horizontal="right"/>
    </xf>
    <xf numFmtId="0" fontId="6" fillId="0" borderId="8" xfId="0" applyFont="1" applyBorder="1"/>
    <xf numFmtId="0" fontId="7" fillId="0" borderId="8" xfId="0" applyFont="1" applyBorder="1"/>
    <xf numFmtId="0" fontId="7" fillId="0" borderId="15" xfId="0" applyFont="1" applyBorder="1"/>
    <xf numFmtId="0" fontId="6" fillId="0" borderId="8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14" xfId="0" applyFont="1" applyBorder="1"/>
    <xf numFmtId="0" fontId="8" fillId="0" borderId="15" xfId="0" applyFont="1" applyBorder="1"/>
    <xf numFmtId="0" fontId="9" fillId="0" borderId="0" xfId="0" applyFont="1"/>
    <xf numFmtId="0" fontId="10" fillId="6" borderId="16" xfId="0" applyFont="1" applyFill="1" applyBorder="1" applyAlignment="1">
      <alignment horizontal="centerContinuous"/>
    </xf>
    <xf numFmtId="0" fontId="8" fillId="6" borderId="17" xfId="0" applyFont="1" applyFill="1" applyBorder="1" applyAlignment="1">
      <alignment horizontal="centerContinuous"/>
    </xf>
    <xf numFmtId="0" fontId="8" fillId="6" borderId="18" xfId="0" applyFont="1" applyFill="1" applyBorder="1" applyAlignment="1">
      <alignment horizontal="centerContinuous"/>
    </xf>
    <xf numFmtId="14" fontId="10" fillId="6" borderId="19" xfId="0" applyNumberFormat="1" applyFont="1" applyFill="1" applyBorder="1" applyAlignment="1">
      <alignment horizontal="centerContinuous"/>
    </xf>
    <xf numFmtId="165" fontId="10" fillId="6" borderId="3" xfId="0" applyNumberFormat="1" applyFont="1" applyFill="1" applyBorder="1" applyAlignment="1">
      <alignment horizontal="left"/>
    </xf>
    <xf numFmtId="0" fontId="10" fillId="6" borderId="20" xfId="0" applyFont="1" applyFill="1" applyBorder="1" applyAlignment="1">
      <alignment horizontal="centerContinuous"/>
    </xf>
    <xf numFmtId="0" fontId="10" fillId="6" borderId="3" xfId="0" applyFont="1" applyFill="1" applyBorder="1" applyAlignment="1">
      <alignment horizontal="centerContinuous"/>
    </xf>
    <xf numFmtId="14" fontId="10" fillId="6" borderId="19" xfId="0" applyNumberFormat="1" applyFont="1" applyFill="1" applyBorder="1" applyAlignment="1">
      <alignment horizontal="left"/>
    </xf>
    <xf numFmtId="14" fontId="9" fillId="7" borderId="22" xfId="0" applyNumberFormat="1" applyFont="1" applyFill="1" applyBorder="1" applyAlignment="1">
      <alignment horizontal="center"/>
    </xf>
    <xf numFmtId="14" fontId="9" fillId="7" borderId="0" xfId="0" applyNumberFormat="1" applyFont="1" applyFill="1" applyAlignment="1">
      <alignment horizontal="center"/>
    </xf>
    <xf numFmtId="14" fontId="9" fillId="7" borderId="23" xfId="0" applyNumberFormat="1" applyFont="1" applyFill="1" applyBorder="1" applyAlignment="1">
      <alignment horizontal="center"/>
    </xf>
    <xf numFmtId="14" fontId="9" fillId="7" borderId="24" xfId="0" applyNumberFormat="1" applyFont="1" applyFill="1" applyBorder="1" applyAlignment="1">
      <alignment horizontal="center"/>
    </xf>
    <xf numFmtId="0" fontId="9" fillId="7" borderId="25" xfId="0" applyFont="1" applyFill="1" applyBorder="1"/>
    <xf numFmtId="0" fontId="11" fillId="7" borderId="26" xfId="0" applyFont="1" applyFill="1" applyBorder="1" applyAlignment="1">
      <alignment horizontal="center"/>
    </xf>
    <xf numFmtId="0" fontId="11" fillId="7" borderId="25" xfId="0" applyFont="1" applyFill="1" applyBorder="1" applyAlignment="1">
      <alignment horizontal="center"/>
    </xf>
    <xf numFmtId="0" fontId="11" fillId="7" borderId="27" xfId="0" applyFont="1" applyFill="1" applyBorder="1" applyAlignment="1">
      <alignment horizontal="center"/>
    </xf>
    <xf numFmtId="0" fontId="11" fillId="7" borderId="14" xfId="0" applyFont="1" applyFill="1" applyBorder="1" applyAlignment="1">
      <alignment horizontal="center"/>
    </xf>
    <xf numFmtId="0" fontId="12" fillId="0" borderId="25" xfId="0" applyFont="1" applyBorder="1"/>
    <xf numFmtId="0" fontId="12" fillId="0" borderId="26" xfId="0" applyFont="1" applyBorder="1"/>
    <xf numFmtId="0" fontId="12" fillId="0" borderId="28" xfId="0" applyFont="1" applyBorder="1"/>
    <xf numFmtId="0" fontId="12" fillId="0" borderId="6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31" xfId="0" applyFont="1" applyBorder="1"/>
    <xf numFmtId="0" fontId="12" fillId="0" borderId="9" xfId="0" applyFont="1" applyBorder="1"/>
    <xf numFmtId="0" fontId="8" fillId="0" borderId="32" xfId="0" applyFont="1" applyBorder="1"/>
    <xf numFmtId="0" fontId="13" fillId="0" borderId="0" xfId="0" applyFont="1"/>
    <xf numFmtId="0" fontId="10" fillId="6" borderId="16" xfId="0" applyFont="1" applyFill="1" applyBorder="1" applyAlignment="1">
      <alignment horizontal="center"/>
    </xf>
    <xf numFmtId="0" fontId="10" fillId="6" borderId="33" xfId="0" applyFont="1" applyFill="1" applyBorder="1" applyAlignment="1">
      <alignment horizontal="center"/>
    </xf>
    <xf numFmtId="0" fontId="10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14" fillId="0" borderId="0" xfId="0" applyFont="1"/>
    <xf numFmtId="166" fontId="10" fillId="6" borderId="37" xfId="0" applyNumberFormat="1" applyFont="1" applyFill="1" applyBorder="1" applyAlignment="1">
      <alignment horizontal="center"/>
    </xf>
    <xf numFmtId="0" fontId="8" fillId="0" borderId="14" xfId="0" applyFont="1" applyBorder="1"/>
    <xf numFmtId="0" fontId="9" fillId="0" borderId="25" xfId="0" applyFont="1" applyBorder="1"/>
    <xf numFmtId="0" fontId="15" fillId="0" borderId="25" xfId="0" applyFont="1" applyBorder="1" applyAlignment="1">
      <alignment vertical="center"/>
    </xf>
    <xf numFmtId="0" fontId="15" fillId="0" borderId="25" xfId="0" applyFont="1" applyBorder="1" applyAlignment="1">
      <alignment horizontal="center" vertical="center"/>
    </xf>
    <xf numFmtId="0" fontId="10" fillId="6" borderId="26" xfId="0" applyFont="1" applyFill="1" applyBorder="1" applyAlignment="1">
      <alignment horizontal="center"/>
    </xf>
    <xf numFmtId="166" fontId="10" fillId="6" borderId="26" xfId="0" applyNumberFormat="1" applyFont="1" applyFill="1" applyBorder="1" applyAlignment="1">
      <alignment horizontal="center"/>
    </xf>
    <xf numFmtId="0" fontId="12" fillId="0" borderId="25" xfId="0" applyFont="1" applyBorder="1" applyAlignment="1">
      <alignment vertical="center"/>
    </xf>
    <xf numFmtId="0" fontId="12" fillId="0" borderId="25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/>
    </xf>
    <xf numFmtId="0" fontId="18" fillId="0" borderId="0" xfId="0" applyFont="1"/>
    <xf numFmtId="0" fontId="9" fillId="8" borderId="16" xfId="0" applyFont="1" applyFill="1" applyBorder="1"/>
    <xf numFmtId="0" fontId="8" fillId="8" borderId="17" xfId="0" applyFont="1" applyFill="1" applyBorder="1"/>
    <xf numFmtId="0" fontId="8" fillId="8" borderId="18" xfId="0" applyFont="1" applyFill="1" applyBorder="1"/>
    <xf numFmtId="166" fontId="10" fillId="6" borderId="41" xfId="0" applyNumberFormat="1" applyFont="1" applyFill="1" applyBorder="1" applyAlignment="1">
      <alignment horizontal="center"/>
    </xf>
    <xf numFmtId="0" fontId="12" fillId="0" borderId="44" xfId="0" applyFont="1" applyBorder="1"/>
    <xf numFmtId="0" fontId="11" fillId="7" borderId="6" xfId="0" applyFont="1" applyFill="1" applyBorder="1" applyAlignment="1">
      <alignment horizontal="center"/>
    </xf>
    <xf numFmtId="0" fontId="12" fillId="0" borderId="19" xfId="0" applyFont="1" applyBorder="1"/>
    <xf numFmtId="0" fontId="12" fillId="0" borderId="13" xfId="0" applyFont="1" applyBorder="1"/>
    <xf numFmtId="0" fontId="11" fillId="7" borderId="6" xfId="0" applyFont="1" applyFill="1" applyBorder="1" applyAlignment="1">
      <alignment horizontal="center" wrapText="1"/>
    </xf>
    <xf numFmtId="0" fontId="16" fillId="0" borderId="6" xfId="0" applyFont="1" applyBorder="1"/>
    <xf numFmtId="0" fontId="0" fillId="0" borderId="25" xfId="0" applyBorder="1"/>
    <xf numFmtId="0" fontId="5" fillId="9" borderId="2" xfId="0" applyFont="1" applyFill="1" applyBorder="1"/>
    <xf numFmtId="0" fontId="22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quotePrefix="1" applyBorder="1" applyAlignment="1">
      <alignment wrapText="1"/>
    </xf>
    <xf numFmtId="0" fontId="8" fillId="0" borderId="0" xfId="0" applyFont="1"/>
    <xf numFmtId="0" fontId="11" fillId="7" borderId="25" xfId="0" applyFont="1" applyFill="1" applyBorder="1" applyAlignment="1">
      <alignment horizontal="center" wrapText="1"/>
    </xf>
    <xf numFmtId="0" fontId="16" fillId="0" borderId="25" xfId="0" applyFont="1" applyBorder="1"/>
    <xf numFmtId="0" fontId="8" fillId="0" borderId="25" xfId="0" applyFont="1" applyBorder="1"/>
    <xf numFmtId="0" fontId="21" fillId="0" borderId="45" xfId="0" applyFont="1" applyBorder="1" applyAlignment="1">
      <alignment wrapText="1"/>
    </xf>
    <xf numFmtId="167" fontId="16" fillId="0" borderId="43" xfId="0" applyNumberFormat="1" applyFont="1" applyBorder="1"/>
    <xf numFmtId="167" fontId="16" fillId="0" borderId="45" xfId="0" applyNumberFormat="1" applyFont="1" applyBorder="1"/>
    <xf numFmtId="167" fontId="8" fillId="0" borderId="45" xfId="0" applyNumberFormat="1" applyFont="1" applyBorder="1"/>
    <xf numFmtId="167" fontId="20" fillId="0" borderId="2" xfId="0" applyNumberFormat="1" applyFont="1" applyBorder="1"/>
    <xf numFmtId="167" fontId="0" fillId="0" borderId="2" xfId="0" applyNumberFormat="1" applyBorder="1"/>
    <xf numFmtId="0" fontId="19" fillId="0" borderId="40" xfId="0" applyFont="1" applyBorder="1" applyAlignment="1">
      <alignment wrapText="1"/>
    </xf>
    <xf numFmtId="0" fontId="0" fillId="0" borderId="11" xfId="0" applyBorder="1"/>
    <xf numFmtId="0" fontId="0" fillId="0" borderId="42" xfId="0" applyBorder="1"/>
    <xf numFmtId="0" fontId="0" fillId="0" borderId="1" xfId="0" applyBorder="1"/>
    <xf numFmtId="0" fontId="0" fillId="0" borderId="43" xfId="0" applyBorder="1"/>
    <xf numFmtId="0" fontId="12" fillId="0" borderId="28" xfId="0" applyFont="1" applyBorder="1"/>
    <xf numFmtId="0" fontId="0" fillId="0" borderId="3" xfId="0" applyBorder="1"/>
    <xf numFmtId="0" fontId="0" fillId="0" borderId="20" xfId="0" applyBorder="1"/>
    <xf numFmtId="0" fontId="17" fillId="0" borderId="23" xfId="0" applyFont="1" applyBorder="1" applyAlignment="1">
      <alignment wrapText="1"/>
    </xf>
    <xf numFmtId="0" fontId="0" fillId="0" borderId="0" xfId="0"/>
    <xf numFmtId="0" fontId="0" fillId="0" borderId="23" xfId="0" applyBorder="1"/>
    <xf numFmtId="0" fontId="10" fillId="0" borderId="38" xfId="0" applyFont="1" applyBorder="1" applyAlignment="1">
      <alignment horizontal="center" wrapText="1"/>
    </xf>
    <xf numFmtId="0" fontId="0" fillId="0" borderId="22" xfId="0" applyBorder="1"/>
    <xf numFmtId="0" fontId="0" fillId="0" borderId="39" xfId="0" applyBorder="1" applyAlignment="1">
      <alignment wrapText="1"/>
    </xf>
    <xf numFmtId="0" fontId="0" fillId="0" borderId="7" xfId="0" applyBorder="1"/>
    <xf numFmtId="0" fontId="17" fillId="0" borderId="20" xfId="0" applyFont="1" applyBorder="1" applyAlignment="1">
      <alignment horizontal="center" wrapText="1"/>
    </xf>
    <xf numFmtId="0" fontId="0" fillId="0" borderId="8" xfId="0" applyBorder="1"/>
    <xf numFmtId="0" fontId="0" fillId="0" borderId="24" xfId="0" applyBorder="1"/>
    <xf numFmtId="0" fontId="17" fillId="0" borderId="20" xfId="0" applyFont="1" applyBorder="1" applyAlignment="1">
      <alignment wrapText="1"/>
    </xf>
    <xf numFmtId="0" fontId="8" fillId="0" borderId="32" xfId="0" applyFont="1" applyBorder="1"/>
    <xf numFmtId="0" fontId="0" fillId="0" borderId="32" xfId="0" applyBorder="1"/>
    <xf numFmtId="0" fontId="5" fillId="9" borderId="2" xfId="0" applyFont="1" applyFill="1" applyBorder="1" applyAlignment="1">
      <alignment horizontal="center" vertical="top" wrapText="1"/>
    </xf>
    <xf numFmtId="0" fontId="0" fillId="0" borderId="38" xfId="0" applyBorder="1"/>
    <xf numFmtId="0" fontId="0" fillId="0" borderId="39" xfId="0" applyBorder="1"/>
    <xf numFmtId="0" fontId="14" fillId="0" borderId="28" xfId="0" applyFont="1" applyBorder="1" applyAlignment="1">
      <alignment horizontal="center" wrapText="1"/>
    </xf>
    <xf numFmtId="0" fontId="0" fillId="0" borderId="14" xfId="0" applyBorder="1"/>
    <xf numFmtId="0" fontId="11" fillId="7" borderId="28" xfId="0" applyFont="1" applyFill="1" applyBorder="1" applyAlignment="1">
      <alignment horizontal="center"/>
    </xf>
    <xf numFmtId="14" fontId="9" fillId="7" borderId="21" xfId="0" applyNumberFormat="1" applyFont="1" applyFill="1" applyBorder="1" applyAlignment="1">
      <alignment horizontal="center"/>
    </xf>
    <xf numFmtId="0" fontId="0" fillId="0" borderId="35" xfId="0" applyBorder="1"/>
    <xf numFmtId="0" fontId="0" fillId="0" borderId="36" xfId="0" applyBorder="1"/>
  </cellXfs>
  <cellStyles count="1">
    <cellStyle name="Normal" xfId="0" builtinId="0"/>
  </cellStyles>
  <dxfs count="9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borrates" displayName="Laborrates" ref="A2:D12" totalsRowShown="0">
  <autoFilter ref="A2:D12" xr:uid="{00000000-0009-0000-0100-000001000000}"/>
  <tableColumns count="4">
    <tableColumn id="1" xr3:uid="{00000000-0010-0000-0000-000001000000}" name="Classification"/>
    <tableColumn id="2" xr3:uid="{00000000-0010-0000-0000-000002000000}" name="ST"/>
    <tableColumn id="3" xr3:uid="{00000000-0010-0000-0000-000003000000}" name="OT"/>
    <tableColumn id="4" xr3:uid="{00000000-0010-0000-0000-000004000000}" name="D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quipmentRates" displayName="EquipmentRates" ref="A13:B59" totalsRowShown="0">
  <autoFilter ref="A13:B59" xr:uid="{00000000-0009-0000-0100-000002000000}"/>
  <tableColumns count="2">
    <tableColumn id="1" xr3:uid="{00000000-0010-0000-0100-000001000000}" name="EquipmentRates"/>
    <tableColumn id="2" xr3:uid="{00000000-0010-0000-0100-000002000000}" name="Rate (HR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quipmentID" displayName="EquipmentID" ref="A61:A81" totalsRowShown="0">
  <autoFilter ref="A61:A81" xr:uid="{00000000-0009-0000-0100-000003000000}"/>
  <tableColumns count="1">
    <tableColumn id="1" xr3:uid="{00000000-0010-0000-0200-000001000000}" name="Equipment I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quipmentLookup" displayName="EquipmentLookup" ref="A85:B89" totalsRowShown="0" headerRowDxfId="8" dataDxfId="7">
  <autoFilter ref="A85:B89" xr:uid="{00000000-0009-0000-0100-000004000000}"/>
  <tableColumns count="2">
    <tableColumn id="1" xr3:uid="{00000000-0010-0000-0300-000001000000}" name="Equipment ID" dataDxfId="6"/>
    <tableColumn id="2" xr3:uid="{00000000-0010-0000-0300-000002000000}" name="Equipment Name" dataDxfId="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quipmentMaster" displayName="EquipmentMaster" ref="A92:C96" totalsRowShown="0" headerRowDxfId="4" dataDxfId="3">
  <autoFilter ref="A92:C96" xr:uid="{00000000-0009-0000-0100-000005000000}"/>
  <tableColumns count="3">
    <tableColumn id="1" xr3:uid="{00000000-0010-0000-0400-000001000000}" name="Equipment ID" dataDxfId="2"/>
    <tableColumn id="2" xr3:uid="{00000000-0010-0000-0400-000002000000}" name="Equipment Name" dataDxfId="1"/>
    <tableColumn id="3" xr3:uid="{00000000-0010-0000-0400-000003000000}" name="Rate (HR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L39"/>
  <sheetViews>
    <sheetView topLeftCell="A24" workbookViewId="0">
      <selection activeCell="E16" sqref="E16"/>
    </sheetView>
  </sheetViews>
  <sheetFormatPr defaultRowHeight="15"/>
  <cols>
    <col min="1" max="1" width="25" customWidth="1"/>
    <col min="2" max="2" width="13" customWidth="1"/>
    <col min="3" max="3" width="18" customWidth="1"/>
    <col min="4" max="4" width="28" customWidth="1"/>
    <col min="5" max="5" width="42" customWidth="1"/>
    <col min="6" max="6" width="20" customWidth="1"/>
    <col min="7" max="7" width="10.42578125" customWidth="1"/>
    <col min="8" max="8" width="14.42578125" customWidth="1"/>
    <col min="9" max="9" width="16" customWidth="1"/>
    <col min="10" max="10" width="22" customWidth="1"/>
    <col min="11" max="11" width="24" customWidth="1"/>
  </cols>
  <sheetData>
    <row r="8" spans="1:12">
      <c r="A8" t="s">
        <v>0</v>
      </c>
      <c r="B8" t="s">
        <v>1</v>
      </c>
      <c r="D8" t="s">
        <v>2</v>
      </c>
    </row>
    <row r="9" spans="1:12">
      <c r="A9" t="s">
        <v>3</v>
      </c>
      <c r="B9" t="s">
        <v>4</v>
      </c>
      <c r="D9" t="s">
        <v>5</v>
      </c>
    </row>
    <row r="12" spans="1:12" ht="30" customHeight="1">
      <c r="A12" s="1" t="s">
        <v>6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11</v>
      </c>
      <c r="G12" s="1" t="s">
        <v>12</v>
      </c>
      <c r="H12" s="1" t="s">
        <v>13</v>
      </c>
      <c r="I12" s="1" t="s">
        <v>14</v>
      </c>
      <c r="J12" s="1" t="s">
        <v>15</v>
      </c>
      <c r="K12" s="1" t="s">
        <v>16</v>
      </c>
      <c r="L12" t="s">
        <v>17</v>
      </c>
    </row>
    <row r="13" spans="1:12" ht="30" customHeight="1">
      <c r="A13" t="s">
        <v>18</v>
      </c>
      <c r="B13" t="s">
        <v>19</v>
      </c>
      <c r="C13" t="s">
        <v>20</v>
      </c>
      <c r="D13" s="2" t="s">
        <v>21</v>
      </c>
      <c r="E13" t="s">
        <v>22</v>
      </c>
      <c r="F13" s="3">
        <v>46047</v>
      </c>
      <c r="J13" s="4" t="s">
        <v>23</v>
      </c>
      <c r="K13" t="s">
        <v>24</v>
      </c>
      <c r="L13" s="3"/>
    </row>
    <row r="14" spans="1:12" ht="30" customHeight="1">
      <c r="A14" t="s">
        <v>25</v>
      </c>
      <c r="B14" t="s">
        <v>26</v>
      </c>
      <c r="C14" t="s">
        <v>27</v>
      </c>
      <c r="D14" s="2"/>
      <c r="E14" t="s">
        <v>22</v>
      </c>
      <c r="F14" s="3">
        <v>46047</v>
      </c>
      <c r="I14" s="3"/>
      <c r="J14" s="4" t="s">
        <v>23</v>
      </c>
      <c r="L14" s="3"/>
    </row>
    <row r="15" spans="1:12" ht="30" customHeight="1">
      <c r="A15" t="s">
        <v>28</v>
      </c>
      <c r="B15" t="s">
        <v>29</v>
      </c>
      <c r="C15" t="s">
        <v>30</v>
      </c>
      <c r="D15" s="2"/>
      <c r="E15" t="s">
        <v>22</v>
      </c>
      <c r="F15" s="3">
        <v>46047</v>
      </c>
      <c r="J15" s="4" t="s">
        <v>23</v>
      </c>
      <c r="L15" s="3"/>
    </row>
    <row r="16" spans="1:12" ht="30" customHeight="1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s="3">
        <v>46048</v>
      </c>
      <c r="J16" s="4" t="s">
        <v>23</v>
      </c>
      <c r="K16" t="s">
        <v>24</v>
      </c>
      <c r="L16" s="3"/>
    </row>
    <row r="17" spans="1:12" ht="30" customHeight="1">
      <c r="A17" t="s">
        <v>36</v>
      </c>
      <c r="B17" t="s">
        <v>29</v>
      </c>
      <c r="C17" t="s">
        <v>37</v>
      </c>
      <c r="D17" t="s">
        <v>38</v>
      </c>
      <c r="E17" t="s">
        <v>35</v>
      </c>
      <c r="F17" s="3">
        <v>46048</v>
      </c>
      <c r="J17" s="4" t="s">
        <v>23</v>
      </c>
      <c r="L17" s="3"/>
    </row>
    <row r="18" spans="1:12" ht="30" customHeight="1">
      <c r="A18" t="s">
        <v>39</v>
      </c>
      <c r="B18" t="s">
        <v>26</v>
      </c>
      <c r="C18" t="s">
        <v>40</v>
      </c>
      <c r="D18" t="s">
        <v>41</v>
      </c>
      <c r="E18" t="s">
        <v>35</v>
      </c>
      <c r="F18" s="3">
        <v>46047</v>
      </c>
      <c r="J18" s="4" t="s">
        <v>23</v>
      </c>
      <c r="L18" s="3"/>
    </row>
    <row r="19" spans="1:12" ht="30" customHeight="1">
      <c r="A19" t="s">
        <v>42</v>
      </c>
      <c r="B19" t="s">
        <v>32</v>
      </c>
      <c r="C19" t="s">
        <v>43</v>
      </c>
      <c r="D19" t="s">
        <v>44</v>
      </c>
      <c r="E19" t="s">
        <v>45</v>
      </c>
      <c r="F19" s="3">
        <v>46048</v>
      </c>
      <c r="J19" s="4" t="s">
        <v>23</v>
      </c>
      <c r="K19" t="s">
        <v>24</v>
      </c>
      <c r="L19" s="3"/>
    </row>
    <row r="20" spans="1:12" ht="30" customHeight="1">
      <c r="A20" t="s">
        <v>46</v>
      </c>
      <c r="B20" t="s">
        <v>29</v>
      </c>
      <c r="C20" t="s">
        <v>47</v>
      </c>
      <c r="D20" t="s">
        <v>48</v>
      </c>
      <c r="E20" t="s">
        <v>45</v>
      </c>
      <c r="F20" s="3">
        <v>46047</v>
      </c>
      <c r="J20" s="4" t="s">
        <v>23</v>
      </c>
      <c r="L20" s="3"/>
    </row>
    <row r="21" spans="1:12" ht="30" customHeight="1">
      <c r="A21" t="s">
        <v>49</v>
      </c>
      <c r="B21" t="s">
        <v>26</v>
      </c>
      <c r="C21" t="s">
        <v>50</v>
      </c>
      <c r="E21" t="s">
        <v>45</v>
      </c>
      <c r="F21" s="3">
        <v>46048</v>
      </c>
      <c r="J21" s="4" t="s">
        <v>23</v>
      </c>
      <c r="L21" s="3"/>
    </row>
    <row r="22" spans="1:12" ht="30" customHeight="1">
      <c r="A22" t="s">
        <v>51</v>
      </c>
      <c r="B22" t="s">
        <v>32</v>
      </c>
      <c r="C22" t="s">
        <v>27</v>
      </c>
      <c r="D22" s="2" t="s">
        <v>52</v>
      </c>
      <c r="E22" t="s">
        <v>53</v>
      </c>
      <c r="F22" s="3">
        <v>46047</v>
      </c>
      <c r="I22" s="3">
        <v>46048</v>
      </c>
      <c r="J22" s="4" t="s">
        <v>23</v>
      </c>
      <c r="K22" t="s">
        <v>24</v>
      </c>
      <c r="L22" s="3"/>
    </row>
    <row r="23" spans="1:12" ht="30" customHeight="1">
      <c r="A23" t="s">
        <v>54</v>
      </c>
      <c r="B23" t="s">
        <v>29</v>
      </c>
      <c r="C23" t="s">
        <v>55</v>
      </c>
      <c r="E23" t="s">
        <v>53</v>
      </c>
      <c r="F23" s="3">
        <v>46047</v>
      </c>
      <c r="J23" s="4" t="s">
        <v>23</v>
      </c>
      <c r="L23" s="3"/>
    </row>
    <row r="24" spans="1:12" ht="30" customHeight="1">
      <c r="A24" t="s">
        <v>56</v>
      </c>
      <c r="B24" t="s">
        <v>26</v>
      </c>
      <c r="C24" t="s">
        <v>57</v>
      </c>
      <c r="E24" t="s">
        <v>53</v>
      </c>
      <c r="F24" s="3">
        <v>46047</v>
      </c>
      <c r="J24" s="4" t="s">
        <v>23</v>
      </c>
      <c r="L24" s="3"/>
    </row>
    <row r="25" spans="1:12" ht="30" customHeight="1">
      <c r="A25" t="s">
        <v>58</v>
      </c>
      <c r="B25" t="s">
        <v>32</v>
      </c>
      <c r="C25" t="s">
        <v>59</v>
      </c>
      <c r="E25" t="s">
        <v>22</v>
      </c>
      <c r="F25" s="3">
        <v>46047</v>
      </c>
      <c r="I25" s="3">
        <v>46048</v>
      </c>
      <c r="J25" s="4" t="s">
        <v>23</v>
      </c>
      <c r="K25" t="s">
        <v>60</v>
      </c>
      <c r="L25" s="3"/>
    </row>
    <row r="26" spans="1:12" ht="30" customHeight="1">
      <c r="A26" t="s">
        <v>61</v>
      </c>
      <c r="B26" t="s">
        <v>29</v>
      </c>
      <c r="E26" t="s">
        <v>22</v>
      </c>
      <c r="F26" s="3">
        <v>46047</v>
      </c>
      <c r="I26" s="3">
        <v>46048</v>
      </c>
      <c r="J26" s="4" t="s">
        <v>23</v>
      </c>
      <c r="L26" s="3"/>
    </row>
    <row r="27" spans="1:12" ht="30" customHeight="1">
      <c r="A27" t="s">
        <v>62</v>
      </c>
      <c r="B27" t="s">
        <v>26</v>
      </c>
      <c r="C27" t="s">
        <v>30</v>
      </c>
      <c r="E27" t="s">
        <v>22</v>
      </c>
      <c r="F27" s="3">
        <v>46047</v>
      </c>
      <c r="I27" s="3">
        <v>46048</v>
      </c>
      <c r="J27" s="4" t="s">
        <v>23</v>
      </c>
      <c r="L27" s="3"/>
    </row>
    <row r="28" spans="1:12" ht="30" customHeight="1">
      <c r="A28" t="s">
        <v>63</v>
      </c>
      <c r="B28" t="s">
        <v>19</v>
      </c>
      <c r="C28" t="s">
        <v>64</v>
      </c>
      <c r="E28" t="s">
        <v>35</v>
      </c>
      <c r="F28" s="3">
        <v>46047</v>
      </c>
      <c r="J28" s="4" t="s">
        <v>23</v>
      </c>
      <c r="K28" t="s">
        <v>60</v>
      </c>
      <c r="L28" s="3"/>
    </row>
    <row r="29" spans="1:12" ht="30" customHeight="1">
      <c r="A29" t="s">
        <v>65</v>
      </c>
      <c r="B29" t="s">
        <v>26</v>
      </c>
      <c r="C29" t="s">
        <v>66</v>
      </c>
      <c r="E29" t="s">
        <v>35</v>
      </c>
      <c r="F29" s="3">
        <v>46047</v>
      </c>
      <c r="J29" s="4" t="s">
        <v>23</v>
      </c>
      <c r="L29" s="3"/>
    </row>
    <row r="30" spans="1:12" ht="30" customHeight="1">
      <c r="A30" t="s">
        <v>67</v>
      </c>
      <c r="B30" t="s">
        <v>29</v>
      </c>
      <c r="C30" t="s">
        <v>68</v>
      </c>
      <c r="E30" t="s">
        <v>35</v>
      </c>
      <c r="F30" s="3">
        <v>46047</v>
      </c>
      <c r="J30" s="4" t="s">
        <v>23</v>
      </c>
      <c r="L30" s="3"/>
    </row>
    <row r="31" spans="1:12" ht="30" customHeight="1">
      <c r="A31" t="s">
        <v>69</v>
      </c>
      <c r="B31" t="s">
        <v>32</v>
      </c>
      <c r="C31" t="s">
        <v>70</v>
      </c>
      <c r="E31" t="s">
        <v>45</v>
      </c>
      <c r="F31" s="3">
        <v>46049</v>
      </c>
      <c r="J31" s="4" t="s">
        <v>23</v>
      </c>
      <c r="K31" t="s">
        <v>60</v>
      </c>
      <c r="L31" s="3"/>
    </row>
    <row r="32" spans="1:12" ht="30" customHeight="1">
      <c r="A32" t="s">
        <v>71</v>
      </c>
      <c r="B32" t="s">
        <v>26</v>
      </c>
      <c r="C32" t="s">
        <v>72</v>
      </c>
      <c r="E32" t="s">
        <v>45</v>
      </c>
      <c r="F32" s="3">
        <v>46049</v>
      </c>
      <c r="J32" s="4" t="s">
        <v>23</v>
      </c>
    </row>
    <row r="33" spans="1:11" ht="30" customHeight="1">
      <c r="A33" t="s">
        <v>73</v>
      </c>
      <c r="B33" t="s">
        <v>29</v>
      </c>
      <c r="C33" t="s">
        <v>74</v>
      </c>
      <c r="E33" t="s">
        <v>45</v>
      </c>
      <c r="F33" s="3">
        <v>46049</v>
      </c>
      <c r="J33" s="4" t="s">
        <v>23</v>
      </c>
    </row>
    <row r="34" spans="1:11" ht="30" customHeight="1">
      <c r="A34" t="s">
        <v>75</v>
      </c>
      <c r="B34" t="s">
        <v>32</v>
      </c>
      <c r="C34" t="s">
        <v>76</v>
      </c>
      <c r="E34" t="s">
        <v>53</v>
      </c>
      <c r="F34" s="3">
        <v>46049</v>
      </c>
      <c r="J34" s="4" t="s">
        <v>23</v>
      </c>
      <c r="K34" t="s">
        <v>60</v>
      </c>
    </row>
    <row r="35" spans="1:11" ht="30" customHeight="1">
      <c r="A35" t="s">
        <v>77</v>
      </c>
      <c r="B35" t="s">
        <v>29</v>
      </c>
      <c r="C35" t="s">
        <v>78</v>
      </c>
      <c r="E35" t="s">
        <v>53</v>
      </c>
      <c r="F35" s="3">
        <v>46049</v>
      </c>
      <c r="J35" s="4" t="s">
        <v>23</v>
      </c>
    </row>
    <row r="36" spans="1:11" ht="30" customHeight="1">
      <c r="A36" t="s">
        <v>79</v>
      </c>
      <c r="B36" t="s">
        <v>26</v>
      </c>
      <c r="C36" t="s">
        <v>80</v>
      </c>
      <c r="E36" t="s">
        <v>53</v>
      </c>
      <c r="F36" s="3">
        <v>46049</v>
      </c>
      <c r="J36" s="4" t="s">
        <v>23</v>
      </c>
    </row>
    <row r="37" spans="1:11" ht="30" customHeight="1">
      <c r="A37" t="s">
        <v>81</v>
      </c>
      <c r="B37" t="s">
        <v>32</v>
      </c>
      <c r="C37" t="s">
        <v>82</v>
      </c>
      <c r="E37" t="s">
        <v>22</v>
      </c>
      <c r="F37" s="3">
        <v>46049</v>
      </c>
      <c r="J37" s="4" t="s">
        <v>23</v>
      </c>
      <c r="K37" t="s">
        <v>60</v>
      </c>
    </row>
    <row r="38" spans="1:11" ht="30" customHeight="1">
      <c r="A38" t="s">
        <v>83</v>
      </c>
      <c r="B38" t="s">
        <v>26</v>
      </c>
      <c r="C38" t="s">
        <v>84</v>
      </c>
      <c r="E38" t="s">
        <v>22</v>
      </c>
      <c r="F38" s="3">
        <v>46049</v>
      </c>
      <c r="J38" s="4" t="s">
        <v>23</v>
      </c>
    </row>
    <row r="39" spans="1:11" ht="30" customHeight="1">
      <c r="A39" t="s">
        <v>85</v>
      </c>
      <c r="B39" t="s">
        <v>29</v>
      </c>
      <c r="C39" t="s">
        <v>86</v>
      </c>
      <c r="E39" t="s">
        <v>22</v>
      </c>
      <c r="F39" s="3">
        <v>46049</v>
      </c>
      <c r="J39" s="4" t="s">
        <v>23</v>
      </c>
    </row>
  </sheetData>
  <dataValidations count="5">
    <dataValidation type="date" allowBlank="1" sqref="F13:I39" xr:uid="{00000000-0002-0000-0000-000000000000}">
      <formula1>DATE(2000,1,1)</formula1>
      <formula2>DATE(2100,12,31)</formula2>
    </dataValidation>
    <dataValidation type="list" allowBlank="1" sqref="K13:K39" xr:uid="{00000000-0002-0000-0000-000001000000}">
      <formula1>EquipmentList</formula1>
    </dataValidation>
    <dataValidation type="list" allowBlank="1" sqref="J13:J39" xr:uid="{00000000-0002-0000-0000-000002000000}">
      <formula1>CompanyList</formula1>
    </dataValidation>
    <dataValidation type="list" allowBlank="1" sqref="E13:E39" xr:uid="{00000000-0002-0000-0000-000003000000}">
      <formula1>Crews</formula1>
    </dataValidation>
    <dataValidation type="list" allowBlank="1" sqref="B13:B39" xr:uid="{00000000-0002-0000-0000-000004000000}">
      <formula1>Positions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7"/>
  <sheetViews>
    <sheetView topLeftCell="A8" zoomScaleNormal="100" workbookViewId="0">
      <selection activeCell="B3" sqref="B3"/>
    </sheetView>
  </sheetViews>
  <sheetFormatPr defaultRowHeight="15"/>
  <cols>
    <col min="1" max="1" width="17.140625" customWidth="1"/>
    <col min="2" max="2" width="15.5703125" customWidth="1"/>
    <col min="3" max="3" width="5.140625" customWidth="1"/>
    <col min="5" max="5" width="5.85546875" customWidth="1"/>
    <col min="6" max="6" width="5.42578125" customWidth="1"/>
    <col min="7" max="7" width="5" customWidth="1"/>
    <col min="8" max="8" width="5.42578125" customWidth="1"/>
    <col min="9" max="9" width="5.140625" customWidth="1"/>
    <col min="10" max="11" width="5.85546875" customWidth="1"/>
    <col min="12" max="12" width="9" customWidth="1"/>
    <col min="13" max="13" width="2.28515625" hidden="1" customWidth="1"/>
    <col min="14" max="14" width="5.7109375" customWidth="1"/>
    <col min="15" max="15" width="5.42578125" customWidth="1"/>
    <col min="16" max="16" width="5" customWidth="1"/>
    <col min="17" max="17" width="5.140625" customWidth="1"/>
    <col min="18" max="18" width="5.28515625" customWidth="1"/>
    <col min="19" max="19" width="5.5703125" customWidth="1"/>
    <col min="20" max="20" width="5.42578125" customWidth="1"/>
    <col min="21" max="21" width="5.7109375" customWidth="1"/>
    <col min="22" max="22" width="5.5703125" customWidth="1"/>
    <col min="23" max="23" width="5.7109375" customWidth="1"/>
    <col min="24" max="24" width="5.42578125" customWidth="1"/>
    <col min="25" max="25" width="5.140625" customWidth="1"/>
    <col min="26" max="26" width="6" customWidth="1"/>
    <col min="28" max="28" width="5.42578125" customWidth="1"/>
    <col min="29" max="29" width="15.5703125" customWidth="1"/>
  </cols>
  <sheetData>
    <row r="1" spans="1:29" ht="25.5" customHeight="1">
      <c r="B1" s="5" t="s">
        <v>87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9" ht="15.75" customHeight="1" thickBot="1">
      <c r="Y2" s="7" t="s">
        <v>88</v>
      </c>
      <c r="Z2" s="8"/>
      <c r="AA2" s="9" t="s">
        <v>89</v>
      </c>
      <c r="AB2" s="8"/>
    </row>
    <row r="3" spans="1:29" ht="15.75" customHeight="1" thickBot="1">
      <c r="C3" s="10"/>
      <c r="D3" s="11" t="s">
        <v>90</v>
      </c>
      <c r="E3" s="11"/>
      <c r="F3" s="11"/>
      <c r="G3" s="12"/>
      <c r="I3" s="10"/>
      <c r="J3" s="11" t="s">
        <v>91</v>
      </c>
      <c r="K3" s="11"/>
      <c r="L3" s="11"/>
      <c r="M3" s="11"/>
      <c r="N3" s="11"/>
      <c r="O3" s="11"/>
      <c r="P3" s="12"/>
      <c r="R3" s="13"/>
      <c r="S3" s="14" t="s">
        <v>92</v>
      </c>
      <c r="T3" s="15"/>
      <c r="U3" s="15"/>
      <c r="V3" s="16"/>
    </row>
    <row r="4" spans="1:29" ht="15.75" customHeight="1" thickBot="1">
      <c r="C4" s="10"/>
      <c r="D4" s="17" t="s">
        <v>93</v>
      </c>
      <c r="E4" s="17"/>
      <c r="F4" s="17"/>
      <c r="G4" s="18"/>
      <c r="I4" s="10"/>
      <c r="J4" s="17" t="s">
        <v>94</v>
      </c>
      <c r="K4" s="17"/>
      <c r="L4" s="17"/>
      <c r="M4" s="17"/>
      <c r="N4" s="17"/>
      <c r="O4" s="17"/>
      <c r="P4" s="18"/>
      <c r="R4" s="19"/>
      <c r="S4" s="20" t="s">
        <v>95</v>
      </c>
      <c r="T4" s="17"/>
      <c r="U4" s="17"/>
      <c r="V4" s="18"/>
      <c r="X4" s="13"/>
      <c r="Y4" s="20" t="s">
        <v>96</v>
      </c>
      <c r="Z4" s="17"/>
      <c r="AA4" s="18"/>
      <c r="AB4" s="18"/>
    </row>
    <row r="5" spans="1:29">
      <c r="E5" s="21"/>
    </row>
    <row r="6" spans="1:29" ht="17.25" customHeight="1">
      <c r="A6" s="22" t="s">
        <v>97</v>
      </c>
      <c r="B6" s="23" t="s">
        <v>98</v>
      </c>
      <c r="C6" s="23"/>
      <c r="D6" s="23"/>
      <c r="E6" s="24"/>
      <c r="F6" s="25"/>
      <c r="G6" s="26"/>
      <c r="H6" s="27"/>
      <c r="I6" s="27"/>
      <c r="J6" s="26" t="s">
        <v>99</v>
      </c>
      <c r="K6" s="26"/>
      <c r="L6" s="26"/>
      <c r="M6" s="28">
        <v>46047</v>
      </c>
      <c r="N6" s="22" t="s">
        <v>100</v>
      </c>
      <c r="O6" s="23"/>
      <c r="P6" s="29"/>
      <c r="Q6" s="23"/>
      <c r="R6" s="23"/>
      <c r="S6" s="23"/>
      <c r="T6" s="23"/>
      <c r="U6" s="23"/>
      <c r="V6" s="25"/>
      <c r="W6" s="30"/>
      <c r="X6" s="31"/>
      <c r="Y6" s="22" t="s">
        <v>101</v>
      </c>
      <c r="Z6" s="32"/>
      <c r="AA6" s="33"/>
      <c r="AB6" s="34"/>
    </row>
    <row r="7" spans="1:29" ht="17.25" customHeight="1">
      <c r="A7" s="35" t="s">
        <v>102</v>
      </c>
      <c r="B7" s="23" t="s">
        <v>46</v>
      </c>
      <c r="C7" s="23"/>
      <c r="D7" s="23"/>
      <c r="E7" s="24"/>
      <c r="F7" s="36"/>
      <c r="G7" s="37"/>
      <c r="H7" s="38"/>
      <c r="I7" s="38"/>
      <c r="J7" s="38" t="s">
        <v>103</v>
      </c>
      <c r="K7" s="38"/>
      <c r="L7" s="38"/>
      <c r="M7" s="39">
        <v>46048</v>
      </c>
      <c r="N7" s="35" t="s">
        <v>104</v>
      </c>
      <c r="O7" s="23"/>
      <c r="P7" s="40"/>
      <c r="Q7" s="40"/>
      <c r="R7" s="40"/>
      <c r="S7" s="40"/>
      <c r="T7" s="40"/>
      <c r="U7" s="40"/>
      <c r="V7" s="36"/>
      <c r="W7" s="41"/>
      <c r="X7" s="42"/>
      <c r="Y7" s="35" t="s">
        <v>105</v>
      </c>
      <c r="Z7" s="23"/>
      <c r="AA7" s="33"/>
      <c r="AB7" s="34"/>
    </row>
    <row r="8" spans="1:29" ht="17.25" customHeight="1">
      <c r="A8" s="35" t="s">
        <v>106</v>
      </c>
      <c r="B8" s="23"/>
      <c r="C8" s="23"/>
      <c r="D8" s="23"/>
      <c r="E8" s="24"/>
      <c r="F8" s="36"/>
      <c r="G8" s="37"/>
      <c r="H8" s="38"/>
      <c r="I8" s="38"/>
      <c r="J8" s="38"/>
      <c r="K8" s="38"/>
      <c r="L8" s="38"/>
      <c r="M8" s="38"/>
      <c r="N8" s="35" t="s">
        <v>107</v>
      </c>
      <c r="O8" s="23"/>
      <c r="P8" s="23"/>
      <c r="Q8" s="23"/>
      <c r="R8" s="23"/>
      <c r="S8" s="23"/>
      <c r="T8" s="23"/>
      <c r="U8" s="23"/>
      <c r="V8" s="36"/>
      <c r="W8" s="41"/>
      <c r="X8" s="42"/>
      <c r="Y8" s="35" t="s">
        <v>108</v>
      </c>
      <c r="Z8" s="23"/>
      <c r="AA8" s="33"/>
      <c r="AB8" s="34"/>
    </row>
    <row r="9" spans="1:29" ht="17.25" customHeight="1">
      <c r="A9" s="43" t="s">
        <v>109</v>
      </c>
      <c r="B9" s="44" t="s">
        <v>110</v>
      </c>
      <c r="C9" s="45"/>
      <c r="D9" s="45"/>
      <c r="E9" s="45"/>
      <c r="F9" s="46"/>
      <c r="G9" s="47"/>
      <c r="H9" s="48"/>
      <c r="I9" s="48"/>
      <c r="J9" s="48"/>
      <c r="K9" s="48"/>
      <c r="L9" s="48"/>
      <c r="M9" s="48"/>
      <c r="N9" s="43" t="s">
        <v>111</v>
      </c>
      <c r="O9" s="40"/>
      <c r="P9" s="40"/>
      <c r="Q9" s="40"/>
      <c r="R9" s="40"/>
      <c r="S9" s="40"/>
      <c r="T9" s="40"/>
      <c r="U9" s="40"/>
      <c r="V9" s="46"/>
      <c r="W9" s="49"/>
      <c r="X9" s="45" t="s">
        <v>112</v>
      </c>
      <c r="Y9" s="45"/>
      <c r="Z9" s="45"/>
      <c r="AA9" s="45"/>
      <c r="AB9" s="50"/>
    </row>
    <row r="10" spans="1:29" ht="12.6" customHeight="1" thickBot="1">
      <c r="A10" s="51" t="s">
        <v>113</v>
      </c>
      <c r="B10" s="51"/>
    </row>
    <row r="11" spans="1:29" ht="17.25" customHeight="1" thickBot="1">
      <c r="A11" s="51"/>
      <c r="B11" s="51"/>
      <c r="C11" s="52" t="s">
        <v>114</v>
      </c>
      <c r="D11" s="53"/>
      <c r="E11" s="54"/>
      <c r="F11" s="52" t="s">
        <v>115</v>
      </c>
      <c r="G11" s="53"/>
      <c r="H11" s="54"/>
      <c r="I11" s="52" t="s">
        <v>116</v>
      </c>
      <c r="J11" s="53"/>
      <c r="K11" s="53"/>
      <c r="L11" s="53"/>
      <c r="M11" s="54"/>
      <c r="N11" s="52" t="s">
        <v>117</v>
      </c>
      <c r="O11" s="53"/>
      <c r="P11" s="54"/>
      <c r="Q11" s="52" t="s">
        <v>118</v>
      </c>
      <c r="R11" s="53"/>
      <c r="S11" s="54"/>
      <c r="T11" s="52" t="s">
        <v>119</v>
      </c>
      <c r="U11" s="53"/>
      <c r="V11" s="54"/>
      <c r="W11" s="52" t="s">
        <v>120</v>
      </c>
      <c r="X11" s="53"/>
      <c r="Y11" s="54"/>
    </row>
    <row r="12" spans="1:29" ht="16.5" customHeight="1">
      <c r="C12" s="55" t="s">
        <v>121</v>
      </c>
      <c r="D12" s="56" t="s">
        <v>122</v>
      </c>
      <c r="E12" s="57"/>
      <c r="F12" s="55" t="s">
        <v>121</v>
      </c>
      <c r="G12" s="56" t="s">
        <v>123</v>
      </c>
      <c r="H12" s="57"/>
      <c r="I12" s="55" t="s">
        <v>121</v>
      </c>
      <c r="J12" s="56" t="s">
        <v>124</v>
      </c>
      <c r="K12" s="56"/>
      <c r="L12" s="56"/>
      <c r="M12" s="57"/>
      <c r="N12" s="55" t="s">
        <v>121</v>
      </c>
      <c r="O12" s="56" t="s">
        <v>125</v>
      </c>
      <c r="P12" s="57"/>
      <c r="Q12" s="55" t="s">
        <v>121</v>
      </c>
      <c r="R12" s="56" t="s">
        <v>126</v>
      </c>
      <c r="S12" s="57"/>
      <c r="T12" s="55" t="s">
        <v>121</v>
      </c>
      <c r="U12" s="56" t="s">
        <v>127</v>
      </c>
      <c r="V12" s="57"/>
      <c r="W12" s="55" t="s">
        <v>121</v>
      </c>
      <c r="X12" s="56" t="s">
        <v>128</v>
      </c>
      <c r="Y12" s="58"/>
      <c r="Z12" s="149" t="s">
        <v>129</v>
      </c>
      <c r="AA12" s="150"/>
      <c r="AB12" s="151"/>
      <c r="AC12" s="143" t="s">
        <v>130</v>
      </c>
    </row>
    <row r="13" spans="1:29" ht="16.5" customHeight="1">
      <c r="C13" s="59" t="s">
        <v>131</v>
      </c>
      <c r="D13" s="56"/>
      <c r="E13" s="57"/>
      <c r="F13" s="59" t="s">
        <v>131</v>
      </c>
      <c r="G13" s="56"/>
      <c r="H13" s="57"/>
      <c r="I13" s="59" t="s">
        <v>131</v>
      </c>
      <c r="J13" s="56"/>
      <c r="K13" s="56"/>
      <c r="L13" s="56"/>
      <c r="M13" s="57"/>
      <c r="N13" s="59" t="s">
        <v>131</v>
      </c>
      <c r="O13" s="56"/>
      <c r="P13" s="57"/>
      <c r="Q13" s="59" t="s">
        <v>131</v>
      </c>
      <c r="R13" s="56"/>
      <c r="S13" s="57"/>
      <c r="T13" s="59" t="s">
        <v>131</v>
      </c>
      <c r="U13" s="56"/>
      <c r="V13" s="57"/>
      <c r="W13" s="59" t="s">
        <v>131</v>
      </c>
      <c r="X13" s="56"/>
      <c r="Y13" s="58"/>
      <c r="Z13" s="60"/>
      <c r="AA13" s="61"/>
      <c r="AB13" s="62"/>
      <c r="AC13" s="144"/>
    </row>
    <row r="14" spans="1:29" ht="17.25" customHeight="1" thickBot="1">
      <c r="C14" s="59" t="s">
        <v>132</v>
      </c>
      <c r="D14" s="56"/>
      <c r="E14" s="57"/>
      <c r="F14" s="59" t="s">
        <v>132</v>
      </c>
      <c r="G14" s="56"/>
      <c r="H14" s="57"/>
      <c r="I14" s="59" t="s">
        <v>132</v>
      </c>
      <c r="J14" s="56"/>
      <c r="K14" s="56"/>
      <c r="L14" s="56"/>
      <c r="M14" s="57"/>
      <c r="N14" s="59" t="s">
        <v>132</v>
      </c>
      <c r="O14" s="56"/>
      <c r="P14" s="57"/>
      <c r="Q14" s="59" t="s">
        <v>132</v>
      </c>
      <c r="R14" s="56"/>
      <c r="S14" s="57"/>
      <c r="T14" s="59" t="s">
        <v>132</v>
      </c>
      <c r="U14" s="56"/>
      <c r="V14" s="57"/>
      <c r="W14" s="59" t="s">
        <v>132</v>
      </c>
      <c r="X14" s="56"/>
      <c r="Y14" s="58"/>
      <c r="Z14" s="60"/>
      <c r="AA14" s="61"/>
      <c r="AB14" s="63"/>
      <c r="AC14" s="145"/>
    </row>
    <row r="15" spans="1:29" ht="16.5" customHeight="1" thickBot="1">
      <c r="A15" s="64" t="s">
        <v>133</v>
      </c>
      <c r="B15" s="64" t="s">
        <v>134</v>
      </c>
      <c r="C15" s="65" t="s">
        <v>135</v>
      </c>
      <c r="D15" s="66" t="s">
        <v>136</v>
      </c>
      <c r="E15" s="67" t="s">
        <v>137</v>
      </c>
      <c r="F15" s="65" t="s">
        <v>135</v>
      </c>
      <c r="G15" s="66" t="s">
        <v>136</v>
      </c>
      <c r="H15" s="67" t="s">
        <v>137</v>
      </c>
      <c r="I15" s="65" t="s">
        <v>135</v>
      </c>
      <c r="J15" s="66" t="s">
        <v>136</v>
      </c>
      <c r="K15" s="148" t="s">
        <v>137</v>
      </c>
      <c r="L15" s="128"/>
      <c r="M15" s="129"/>
      <c r="N15" s="65" t="s">
        <v>135</v>
      </c>
      <c r="O15" s="66" t="s">
        <v>136</v>
      </c>
      <c r="P15" s="67" t="s">
        <v>137</v>
      </c>
      <c r="Q15" s="65" t="s">
        <v>135</v>
      </c>
      <c r="R15" s="66" t="s">
        <v>136</v>
      </c>
      <c r="S15" s="67" t="s">
        <v>137</v>
      </c>
      <c r="T15" s="65" t="s">
        <v>135</v>
      </c>
      <c r="U15" s="66" t="s">
        <v>136</v>
      </c>
      <c r="V15" s="67" t="s">
        <v>137</v>
      </c>
      <c r="W15" s="65" t="s">
        <v>135</v>
      </c>
      <c r="X15" s="66" t="s">
        <v>136</v>
      </c>
      <c r="Y15" s="68" t="s">
        <v>137</v>
      </c>
      <c r="Z15" s="65" t="s">
        <v>135</v>
      </c>
      <c r="AA15" s="66" t="s">
        <v>136</v>
      </c>
      <c r="AB15" s="101" t="s">
        <v>137</v>
      </c>
      <c r="AC15" s="107" t="s">
        <v>130</v>
      </c>
    </row>
    <row r="16" spans="1:29" ht="12.75" customHeight="1" thickBot="1">
      <c r="A16" s="69" t="s">
        <v>110</v>
      </c>
      <c r="B16" s="69" t="s">
        <v>138</v>
      </c>
      <c r="C16" s="70"/>
      <c r="D16" s="69"/>
      <c r="E16" s="71"/>
      <c r="F16" s="70"/>
      <c r="G16" s="69">
        <v>16</v>
      </c>
      <c r="H16" s="71"/>
      <c r="I16" s="70"/>
      <c r="J16" s="69">
        <v>16</v>
      </c>
      <c r="K16" s="127"/>
      <c r="L16" s="128"/>
      <c r="M16" s="129"/>
      <c r="N16" s="70"/>
      <c r="O16" s="69">
        <v>16</v>
      </c>
      <c r="P16" s="71"/>
      <c r="Q16" s="70"/>
      <c r="R16" s="69"/>
      <c r="S16" s="71"/>
      <c r="T16" s="70"/>
      <c r="U16" s="69"/>
      <c r="V16" s="71"/>
      <c r="W16" s="70"/>
      <c r="X16" s="69"/>
      <c r="Y16" s="72"/>
      <c r="Z16" s="70">
        <f t="shared" ref="Z16:Z27" si="0">SUM(C16,F16,I16,N16,Q16,T16,W16)</f>
        <v>0</v>
      </c>
      <c r="AA16" s="70">
        <f t="shared" ref="AA16:AA27" si="1">SUM(D16,G16,J16,O16,R16,U16,X16)</f>
        <v>48</v>
      </c>
      <c r="AB16" s="102">
        <f t="shared" ref="AB16:AB27" si="2">SUM(E16,H16,M16,P16,S16,V16,Y16)</f>
        <v>0</v>
      </c>
      <c r="AC16" s="120">
        <f t="shared" ref="AC16:AC27" si="3">IFERROR(Z16*VLOOKUP(B16,LaborRateTable,2,FALSE)+AA16*VLOOKUP(B16,LaborRateTable,3,FALSE)+AB16*VLOOKUP(B16,LaborRateTable,4,FALSE),0)</f>
        <v>4608</v>
      </c>
    </row>
    <row r="17" spans="1:29" ht="12.75" customHeight="1" thickBot="1">
      <c r="A17" s="69" t="s">
        <v>247</v>
      </c>
      <c r="B17" s="69" t="s">
        <v>139</v>
      </c>
      <c r="C17" s="70"/>
      <c r="D17" s="69"/>
      <c r="E17" s="71"/>
      <c r="F17" s="70"/>
      <c r="G17" s="69">
        <v>16</v>
      </c>
      <c r="H17" s="71"/>
      <c r="I17" s="70"/>
      <c r="J17" s="69">
        <v>0</v>
      </c>
      <c r="K17" s="127"/>
      <c r="L17" s="128"/>
      <c r="M17" s="129"/>
      <c r="N17" s="70"/>
      <c r="O17" s="69">
        <v>0</v>
      </c>
      <c r="P17" s="71"/>
      <c r="Q17" s="70"/>
      <c r="R17" s="69"/>
      <c r="S17" s="71"/>
      <c r="T17" s="70"/>
      <c r="U17" s="69"/>
      <c r="V17" s="71"/>
      <c r="W17" s="70"/>
      <c r="X17" s="69"/>
      <c r="Y17" s="72"/>
      <c r="Z17" s="70">
        <f t="shared" si="0"/>
        <v>0</v>
      </c>
      <c r="AA17" s="70">
        <f t="shared" si="1"/>
        <v>16</v>
      </c>
      <c r="AB17" s="102">
        <f t="shared" si="2"/>
        <v>0</v>
      </c>
      <c r="AC17" s="120">
        <f t="shared" si="3"/>
        <v>1430.4</v>
      </c>
    </row>
    <row r="18" spans="1:29" ht="12.75" customHeight="1" thickBot="1">
      <c r="A18" s="69" t="s">
        <v>248</v>
      </c>
      <c r="B18" s="69" t="s">
        <v>26</v>
      </c>
      <c r="C18" s="70"/>
      <c r="D18" s="69"/>
      <c r="E18" s="71"/>
      <c r="F18" s="70"/>
      <c r="G18" s="69">
        <v>16</v>
      </c>
      <c r="H18" s="71"/>
      <c r="I18" s="70"/>
      <c r="J18" s="69">
        <v>0</v>
      </c>
      <c r="K18" s="127"/>
      <c r="L18" s="128"/>
      <c r="M18" s="129"/>
      <c r="N18" s="70"/>
      <c r="O18" s="69">
        <v>0</v>
      </c>
      <c r="P18" s="71"/>
      <c r="Q18" s="70"/>
      <c r="R18" s="69"/>
      <c r="S18" s="71"/>
      <c r="T18" s="70"/>
      <c r="U18" s="69"/>
      <c r="V18" s="71"/>
      <c r="W18" s="70"/>
      <c r="X18" s="69"/>
      <c r="Y18" s="72"/>
      <c r="Z18" s="70">
        <f t="shared" si="0"/>
        <v>0</v>
      </c>
      <c r="AA18" s="70">
        <f t="shared" si="1"/>
        <v>16</v>
      </c>
      <c r="AB18" s="102">
        <f t="shared" si="2"/>
        <v>0</v>
      </c>
      <c r="AC18" s="120">
        <f t="shared" si="3"/>
        <v>1344</v>
      </c>
    </row>
    <row r="19" spans="1:29" ht="12.75" customHeight="1" thickBot="1">
      <c r="A19" s="69" t="s">
        <v>46</v>
      </c>
      <c r="B19" s="103" t="s">
        <v>138</v>
      </c>
      <c r="C19" s="70"/>
      <c r="D19" s="69"/>
      <c r="E19" s="71"/>
      <c r="F19" s="70"/>
      <c r="G19" s="69">
        <v>16</v>
      </c>
      <c r="H19" s="71"/>
      <c r="I19" s="70"/>
      <c r="J19" s="69">
        <v>16</v>
      </c>
      <c r="K19" s="127"/>
      <c r="L19" s="128"/>
      <c r="M19" s="129"/>
      <c r="N19" s="70"/>
      <c r="O19" s="69">
        <v>0</v>
      </c>
      <c r="P19" s="71"/>
      <c r="Q19" s="70"/>
      <c r="R19" s="69"/>
      <c r="S19" s="71"/>
      <c r="T19" s="70"/>
      <c r="U19" s="69"/>
      <c r="V19" s="71"/>
      <c r="W19" s="70"/>
      <c r="X19" s="69"/>
      <c r="Y19" s="72"/>
      <c r="Z19" s="70">
        <f t="shared" si="0"/>
        <v>0</v>
      </c>
      <c r="AA19" s="70">
        <f t="shared" si="1"/>
        <v>32</v>
      </c>
      <c r="AB19" s="102">
        <f t="shared" si="2"/>
        <v>0</v>
      </c>
      <c r="AC19" s="120">
        <f t="shared" si="3"/>
        <v>3072</v>
      </c>
    </row>
    <row r="20" spans="1:29" ht="12.75" customHeight="1" thickBot="1">
      <c r="A20" s="69" t="s">
        <v>249</v>
      </c>
      <c r="B20" s="69" t="s">
        <v>139</v>
      </c>
      <c r="C20" s="70"/>
      <c r="D20" s="69"/>
      <c r="E20" s="71"/>
      <c r="F20" s="70"/>
      <c r="G20" s="69">
        <v>16</v>
      </c>
      <c r="H20" s="71"/>
      <c r="I20" s="70"/>
      <c r="J20" s="69">
        <v>16</v>
      </c>
      <c r="K20" s="127"/>
      <c r="L20" s="128"/>
      <c r="M20" s="129"/>
      <c r="N20" s="70"/>
      <c r="O20" s="69">
        <v>0</v>
      </c>
      <c r="P20" s="71"/>
      <c r="Q20" s="70"/>
      <c r="R20" s="69"/>
      <c r="S20" s="71"/>
      <c r="T20" s="70"/>
      <c r="U20" s="69"/>
      <c r="V20" s="71"/>
      <c r="W20" s="70"/>
      <c r="X20" s="69"/>
      <c r="Y20" s="72"/>
      <c r="Z20" s="70">
        <f t="shared" si="0"/>
        <v>0</v>
      </c>
      <c r="AA20" s="70">
        <f t="shared" si="1"/>
        <v>32</v>
      </c>
      <c r="AB20" s="102">
        <f t="shared" si="2"/>
        <v>0</v>
      </c>
      <c r="AC20" s="120">
        <f t="shared" si="3"/>
        <v>2860.8</v>
      </c>
    </row>
    <row r="21" spans="1:29" ht="12.75" customHeight="1" thickBot="1">
      <c r="A21" s="69" t="s">
        <v>250</v>
      </c>
      <c r="B21" s="69" t="s">
        <v>26</v>
      </c>
      <c r="C21" s="70"/>
      <c r="D21" s="69"/>
      <c r="E21" s="71"/>
      <c r="F21" s="70"/>
      <c r="G21" s="69">
        <v>16</v>
      </c>
      <c r="H21" s="71"/>
      <c r="I21" s="70"/>
      <c r="J21" s="69">
        <v>0</v>
      </c>
      <c r="K21" s="127"/>
      <c r="L21" s="128"/>
      <c r="M21" s="129"/>
      <c r="N21" s="70"/>
      <c r="O21" s="69">
        <v>0</v>
      </c>
      <c r="P21" s="71"/>
      <c r="Q21" s="70"/>
      <c r="R21" s="69"/>
      <c r="S21" s="71"/>
      <c r="T21" s="70"/>
      <c r="U21" s="69"/>
      <c r="V21" s="71"/>
      <c r="W21" s="70"/>
      <c r="X21" s="69"/>
      <c r="Y21" s="72"/>
      <c r="Z21" s="70">
        <f t="shared" si="0"/>
        <v>0</v>
      </c>
      <c r="AA21" s="70">
        <f t="shared" si="1"/>
        <v>16</v>
      </c>
      <c r="AB21" s="102">
        <f t="shared" si="2"/>
        <v>0</v>
      </c>
      <c r="AC21" s="120">
        <f t="shared" si="3"/>
        <v>1344</v>
      </c>
    </row>
    <row r="22" spans="1:29" ht="12.75" customHeight="1" thickBot="1">
      <c r="A22" s="69"/>
      <c r="B22" s="100"/>
      <c r="C22" s="70"/>
      <c r="D22" s="69"/>
      <c r="E22" s="71"/>
      <c r="F22" s="70"/>
      <c r="G22" s="69"/>
      <c r="H22" s="71"/>
      <c r="I22" s="70"/>
      <c r="J22" s="69"/>
      <c r="K22" s="127"/>
      <c r="L22" s="128"/>
      <c r="M22" s="129"/>
      <c r="N22" s="70"/>
      <c r="O22" s="69"/>
      <c r="P22" s="71"/>
      <c r="Q22" s="70"/>
      <c r="R22" s="69"/>
      <c r="S22" s="71"/>
      <c r="T22" s="70"/>
      <c r="U22" s="69"/>
      <c r="V22" s="71"/>
      <c r="W22" s="70"/>
      <c r="X22" s="69"/>
      <c r="Y22" s="72"/>
      <c r="Z22" s="70">
        <f t="shared" si="0"/>
        <v>0</v>
      </c>
      <c r="AA22" s="70">
        <f t="shared" si="1"/>
        <v>0</v>
      </c>
      <c r="AB22" s="102">
        <f t="shared" si="2"/>
        <v>0</v>
      </c>
      <c r="AC22" s="120">
        <f t="shared" si="3"/>
        <v>0</v>
      </c>
    </row>
    <row r="23" spans="1:29" ht="12.75" customHeight="1" thickBot="1">
      <c r="A23" s="69"/>
      <c r="B23" s="69"/>
      <c r="C23" s="70"/>
      <c r="D23" s="69"/>
      <c r="E23" s="71"/>
      <c r="F23" s="70"/>
      <c r="G23" s="69"/>
      <c r="H23" s="71"/>
      <c r="I23" s="70"/>
      <c r="J23" s="69"/>
      <c r="K23" s="127"/>
      <c r="L23" s="128"/>
      <c r="M23" s="129"/>
      <c r="N23" s="70"/>
      <c r="O23" s="69"/>
      <c r="P23" s="71"/>
      <c r="Q23" s="70"/>
      <c r="R23" s="69"/>
      <c r="S23" s="71"/>
      <c r="T23" s="70"/>
      <c r="U23" s="69"/>
      <c r="V23" s="71"/>
      <c r="W23" s="70"/>
      <c r="X23" s="69"/>
      <c r="Y23" s="72"/>
      <c r="Z23" s="70">
        <f t="shared" si="0"/>
        <v>0</v>
      </c>
      <c r="AA23" s="70">
        <f t="shared" si="1"/>
        <v>0</v>
      </c>
      <c r="AB23" s="102">
        <f t="shared" si="2"/>
        <v>0</v>
      </c>
      <c r="AC23" s="120">
        <f t="shared" si="3"/>
        <v>0</v>
      </c>
    </row>
    <row r="24" spans="1:29" ht="12.75" customHeight="1" thickBot="1">
      <c r="A24" s="69"/>
      <c r="B24" s="69"/>
      <c r="C24" s="70"/>
      <c r="D24" s="69"/>
      <c r="E24" s="71"/>
      <c r="F24" s="70"/>
      <c r="G24" s="69"/>
      <c r="H24" s="71"/>
      <c r="I24" s="70"/>
      <c r="J24" s="69"/>
      <c r="K24" s="127"/>
      <c r="L24" s="128"/>
      <c r="M24" s="129"/>
      <c r="N24" s="70"/>
      <c r="O24" s="69"/>
      <c r="P24" s="71"/>
      <c r="Q24" s="70"/>
      <c r="R24" s="69"/>
      <c r="S24" s="71"/>
      <c r="T24" s="70"/>
      <c r="U24" s="69"/>
      <c r="V24" s="71"/>
      <c r="W24" s="70"/>
      <c r="X24" s="69"/>
      <c r="Y24" s="72"/>
      <c r="Z24" s="70">
        <f t="shared" si="0"/>
        <v>0</v>
      </c>
      <c r="AA24" s="70">
        <f t="shared" si="1"/>
        <v>0</v>
      </c>
      <c r="AB24" s="102">
        <f t="shared" si="2"/>
        <v>0</v>
      </c>
      <c r="AC24" s="120">
        <f t="shared" si="3"/>
        <v>0</v>
      </c>
    </row>
    <row r="25" spans="1:29" ht="12.75" customHeight="1" thickBot="1">
      <c r="A25" s="69"/>
      <c r="B25" s="69"/>
      <c r="C25" s="70"/>
      <c r="D25" s="69"/>
      <c r="E25" s="71"/>
      <c r="F25" s="70"/>
      <c r="G25" s="69"/>
      <c r="H25" s="71"/>
      <c r="I25" s="70"/>
      <c r="J25" s="69"/>
      <c r="K25" s="127"/>
      <c r="L25" s="128"/>
      <c r="M25" s="129"/>
      <c r="N25" s="70"/>
      <c r="O25" s="69"/>
      <c r="P25" s="71"/>
      <c r="Q25" s="70"/>
      <c r="R25" s="69"/>
      <c r="S25" s="71"/>
      <c r="T25" s="70"/>
      <c r="U25" s="69"/>
      <c r="V25" s="71"/>
      <c r="W25" s="70"/>
      <c r="X25" s="69"/>
      <c r="Y25" s="72"/>
      <c r="Z25" s="70">
        <f t="shared" si="0"/>
        <v>0</v>
      </c>
      <c r="AA25" s="70">
        <f t="shared" si="1"/>
        <v>0</v>
      </c>
      <c r="AB25" s="102">
        <f t="shared" si="2"/>
        <v>0</v>
      </c>
      <c r="AC25" s="120">
        <f t="shared" si="3"/>
        <v>0</v>
      </c>
    </row>
    <row r="26" spans="1:29" ht="12.75" customHeight="1" thickBot="1">
      <c r="A26" s="69"/>
      <c r="B26" s="69"/>
      <c r="C26" s="70"/>
      <c r="D26" s="69"/>
      <c r="E26" s="71"/>
      <c r="F26" s="70"/>
      <c r="G26" s="69"/>
      <c r="H26" s="71"/>
      <c r="I26" s="70"/>
      <c r="J26" s="69"/>
      <c r="K26" s="127"/>
      <c r="L26" s="128"/>
      <c r="M26" s="129"/>
      <c r="N26" s="70"/>
      <c r="O26" s="69"/>
      <c r="P26" s="71"/>
      <c r="Q26" s="70"/>
      <c r="R26" s="69"/>
      <c r="S26" s="71"/>
      <c r="T26" s="70"/>
      <c r="U26" s="69"/>
      <c r="V26" s="71"/>
      <c r="W26" s="70"/>
      <c r="X26" s="69"/>
      <c r="Y26" s="72"/>
      <c r="Z26" s="70">
        <f t="shared" si="0"/>
        <v>0</v>
      </c>
      <c r="AA26" s="70">
        <f t="shared" si="1"/>
        <v>0</v>
      </c>
      <c r="AB26" s="102">
        <f t="shared" si="2"/>
        <v>0</v>
      </c>
      <c r="AC26" s="120">
        <f t="shared" si="3"/>
        <v>0</v>
      </c>
    </row>
    <row r="27" spans="1:29" ht="12.75" customHeight="1" thickBot="1">
      <c r="A27" s="69"/>
      <c r="B27" s="69"/>
      <c r="C27" s="73"/>
      <c r="D27" s="74"/>
      <c r="E27" s="75"/>
      <c r="F27" s="73"/>
      <c r="G27" s="74"/>
      <c r="H27" s="75"/>
      <c r="I27" s="73"/>
      <c r="J27" s="74"/>
      <c r="K27" s="127"/>
      <c r="L27" s="128"/>
      <c r="M27" s="129"/>
      <c r="N27" s="73"/>
      <c r="O27" s="74"/>
      <c r="P27" s="75"/>
      <c r="Q27" s="73"/>
      <c r="R27" s="74"/>
      <c r="S27" s="75"/>
      <c r="T27" s="73"/>
      <c r="U27" s="74"/>
      <c r="V27" s="75"/>
      <c r="W27" s="73"/>
      <c r="X27" s="74"/>
      <c r="Y27" s="76"/>
      <c r="Z27" s="70">
        <f t="shared" si="0"/>
        <v>0</v>
      </c>
      <c r="AA27" s="70">
        <f t="shared" si="1"/>
        <v>0</v>
      </c>
      <c r="AB27" s="102">
        <f t="shared" si="2"/>
        <v>0</v>
      </c>
      <c r="AC27" s="120">
        <f t="shared" si="3"/>
        <v>0</v>
      </c>
    </row>
    <row r="28" spans="1:29" ht="14.1" customHeight="1" thickBot="1">
      <c r="C28" s="77">
        <f t="shared" ref="C28:J28" si="4">SUM(C16:C27)</f>
        <v>0</v>
      </c>
      <c r="D28" s="77">
        <f t="shared" si="4"/>
        <v>0</v>
      </c>
      <c r="E28" s="77">
        <f t="shared" si="4"/>
        <v>0</v>
      </c>
      <c r="F28" s="77">
        <f t="shared" si="4"/>
        <v>0</v>
      </c>
      <c r="G28" s="77">
        <f t="shared" si="4"/>
        <v>96</v>
      </c>
      <c r="H28" s="77">
        <f t="shared" si="4"/>
        <v>0</v>
      </c>
      <c r="I28" s="77">
        <f t="shared" si="4"/>
        <v>0</v>
      </c>
      <c r="J28" s="77">
        <f t="shared" si="4"/>
        <v>48</v>
      </c>
      <c r="K28" s="77"/>
      <c r="L28" s="141">
        <f>SUM(M16:M27)</f>
        <v>0</v>
      </c>
      <c r="M28" s="142"/>
      <c r="N28" s="77">
        <f t="shared" ref="N28:AC28" si="5">SUM(N16:N27)</f>
        <v>0</v>
      </c>
      <c r="O28" s="77">
        <f t="shared" si="5"/>
        <v>16</v>
      </c>
      <c r="P28" s="77">
        <f t="shared" si="5"/>
        <v>0</v>
      </c>
      <c r="Q28" s="77">
        <f t="shared" si="5"/>
        <v>0</v>
      </c>
      <c r="R28" s="77">
        <f t="shared" si="5"/>
        <v>0</v>
      </c>
      <c r="S28" s="77">
        <f t="shared" si="5"/>
        <v>0</v>
      </c>
      <c r="T28" s="77">
        <f t="shared" si="5"/>
        <v>0</v>
      </c>
      <c r="U28" s="77">
        <f t="shared" si="5"/>
        <v>0</v>
      </c>
      <c r="V28" s="77">
        <f t="shared" si="5"/>
        <v>0</v>
      </c>
      <c r="W28" s="77">
        <f t="shared" si="5"/>
        <v>0</v>
      </c>
      <c r="X28" s="77">
        <f t="shared" si="5"/>
        <v>0</v>
      </c>
      <c r="Y28" s="77">
        <f t="shared" si="5"/>
        <v>0</v>
      </c>
      <c r="Z28" s="77">
        <f t="shared" si="5"/>
        <v>0</v>
      </c>
      <c r="AA28" s="77">
        <f t="shared" si="5"/>
        <v>160</v>
      </c>
      <c r="AB28" s="77">
        <f t="shared" si="5"/>
        <v>0</v>
      </c>
      <c r="AC28" s="121">
        <f t="shared" si="5"/>
        <v>14659.2</v>
      </c>
    </row>
    <row r="29" spans="1:29" ht="17.25" customHeight="1" thickTop="1">
      <c r="A29" s="78" t="s">
        <v>142</v>
      </c>
    </row>
    <row r="30" spans="1:29" ht="7.5" customHeight="1" thickBot="1"/>
    <row r="31" spans="1:29" ht="15.6" customHeight="1">
      <c r="C31" s="79" t="s">
        <v>143</v>
      </c>
      <c r="D31" s="79" t="s">
        <v>144</v>
      </c>
      <c r="E31" s="79" t="s">
        <v>145</v>
      </c>
      <c r="F31" s="79" t="s">
        <v>146</v>
      </c>
      <c r="G31" s="79" t="s">
        <v>147</v>
      </c>
      <c r="H31" s="79" t="s">
        <v>148</v>
      </c>
      <c r="I31" s="80" t="s">
        <v>149</v>
      </c>
      <c r="N31" s="81" t="s">
        <v>150</v>
      </c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3"/>
    </row>
    <row r="32" spans="1:29" ht="16.5" customHeight="1" thickBot="1">
      <c r="A32" s="84"/>
      <c r="B32" s="84"/>
      <c r="C32" s="85"/>
      <c r="D32" s="85"/>
      <c r="E32" s="85"/>
      <c r="F32" s="85"/>
      <c r="G32" s="85"/>
      <c r="H32" s="85"/>
      <c r="I32" s="85"/>
      <c r="J32" s="86"/>
      <c r="K32" s="112"/>
      <c r="L32" s="112"/>
      <c r="N32" s="133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2"/>
    </row>
    <row r="33" spans="1:28" ht="27.75" customHeight="1" thickBot="1">
      <c r="A33" s="87" t="s">
        <v>151</v>
      </c>
      <c r="B33" s="87" t="s">
        <v>152</v>
      </c>
      <c r="C33" s="66" t="s">
        <v>153</v>
      </c>
      <c r="D33" s="66" t="s">
        <v>153</v>
      </c>
      <c r="E33" s="66" t="s">
        <v>153</v>
      </c>
      <c r="F33" s="66" t="s">
        <v>153</v>
      </c>
      <c r="G33" s="66" t="s">
        <v>153</v>
      </c>
      <c r="H33" s="66" t="s">
        <v>153</v>
      </c>
      <c r="I33" s="66" t="s">
        <v>153</v>
      </c>
      <c r="J33" s="104" t="s">
        <v>154</v>
      </c>
      <c r="K33" s="113" t="s">
        <v>155</v>
      </c>
      <c r="L33" s="113" t="s">
        <v>156</v>
      </c>
      <c r="M33" s="116" t="s">
        <v>157</v>
      </c>
      <c r="N33" s="134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2"/>
    </row>
    <row r="34" spans="1:28" ht="14.45" customHeight="1" thickBot="1">
      <c r="A34" s="88" t="s">
        <v>158</v>
      </c>
      <c r="B34" s="106" t="s">
        <v>159</v>
      </c>
      <c r="C34" s="69"/>
      <c r="D34" s="69">
        <v>16</v>
      </c>
      <c r="E34" s="69">
        <v>16</v>
      </c>
      <c r="F34" s="69">
        <v>16</v>
      </c>
      <c r="G34" s="69"/>
      <c r="H34" s="69"/>
      <c r="I34" s="69"/>
      <c r="J34" s="105">
        <f t="shared" ref="J34:J42" si="6">IFERROR(SUM(C34:I34),0)</f>
        <v>48</v>
      </c>
      <c r="K34" s="114">
        <f t="shared" ref="K34:K42" si="7">IFERROR(VLOOKUP(A34,EquipmentRateTable,2,FALSE),0)</f>
        <v>48</v>
      </c>
      <c r="L34" s="117">
        <f t="shared" ref="L34:L42" si="8">IFERROR(J34*K34,0)</f>
        <v>2304</v>
      </c>
      <c r="M34" s="111"/>
      <c r="N34" s="90" t="s">
        <v>143</v>
      </c>
      <c r="O34" s="146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4"/>
    </row>
    <row r="35" spans="1:28" ht="15" customHeight="1" thickBot="1">
      <c r="A35" s="88" t="s">
        <v>160</v>
      </c>
      <c r="B35" s="106" t="s">
        <v>161</v>
      </c>
      <c r="C35" s="69"/>
      <c r="D35" s="69">
        <v>16</v>
      </c>
      <c r="E35" s="69">
        <v>16</v>
      </c>
      <c r="F35" s="69">
        <v>16</v>
      </c>
      <c r="G35" s="69"/>
      <c r="H35" s="69"/>
      <c r="I35" s="69"/>
      <c r="J35" s="105">
        <f t="shared" si="6"/>
        <v>48</v>
      </c>
      <c r="K35" s="114">
        <f t="shared" si="7"/>
        <v>67.2</v>
      </c>
      <c r="L35" s="118">
        <f t="shared" si="8"/>
        <v>3225.6000000000004</v>
      </c>
      <c r="M35" s="111"/>
      <c r="N35" s="91"/>
      <c r="O35" s="147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9"/>
    </row>
    <row r="36" spans="1:28" ht="14.45" customHeight="1" thickBot="1">
      <c r="A36" s="88" t="s">
        <v>162</v>
      </c>
      <c r="B36" s="106" t="s">
        <v>163</v>
      </c>
      <c r="C36" s="69"/>
      <c r="D36" s="69">
        <v>16</v>
      </c>
      <c r="E36" s="69">
        <v>16</v>
      </c>
      <c r="F36" s="69">
        <v>16</v>
      </c>
      <c r="G36" s="69"/>
      <c r="H36" s="69"/>
      <c r="I36" s="69"/>
      <c r="J36" s="105">
        <f t="shared" si="6"/>
        <v>48</v>
      </c>
      <c r="K36" s="114">
        <f t="shared" si="7"/>
        <v>13.5</v>
      </c>
      <c r="L36" s="118">
        <f t="shared" si="8"/>
        <v>648</v>
      </c>
      <c r="M36" s="111"/>
      <c r="N36" s="90" t="s">
        <v>144</v>
      </c>
      <c r="O36" s="137" t="s">
        <v>259</v>
      </c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4"/>
    </row>
    <row r="37" spans="1:28" ht="15" customHeight="1" thickBot="1">
      <c r="A37" s="88" t="s">
        <v>164</v>
      </c>
      <c r="B37" s="106" t="s">
        <v>165</v>
      </c>
      <c r="C37" s="69"/>
      <c r="D37" s="69">
        <v>16</v>
      </c>
      <c r="E37" s="69">
        <v>16</v>
      </c>
      <c r="F37" s="69">
        <v>16</v>
      </c>
      <c r="G37" s="69"/>
      <c r="H37" s="69"/>
      <c r="I37" s="69"/>
      <c r="J37" s="105">
        <f t="shared" si="6"/>
        <v>48</v>
      </c>
      <c r="K37" s="114">
        <f t="shared" si="7"/>
        <v>25.2</v>
      </c>
      <c r="L37" s="118">
        <f t="shared" si="8"/>
        <v>1209.5999999999999</v>
      </c>
      <c r="M37" s="111"/>
      <c r="N37" s="91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9"/>
    </row>
    <row r="38" spans="1:28" ht="16.5" customHeight="1" thickBot="1">
      <c r="A38" s="88"/>
      <c r="B38" s="89"/>
      <c r="C38" s="69"/>
      <c r="D38" s="69"/>
      <c r="E38" s="69"/>
      <c r="F38" s="69"/>
      <c r="G38" s="69"/>
      <c r="H38" s="69"/>
      <c r="I38" s="69"/>
      <c r="J38" s="105">
        <f t="shared" si="6"/>
        <v>0</v>
      </c>
      <c r="K38" s="114">
        <f t="shared" si="7"/>
        <v>0</v>
      </c>
      <c r="L38" s="118">
        <f t="shared" si="8"/>
        <v>0</v>
      </c>
      <c r="M38" s="111"/>
      <c r="N38" s="90" t="s">
        <v>145</v>
      </c>
      <c r="O38" s="130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2"/>
    </row>
    <row r="39" spans="1:28" ht="16.5" customHeight="1" thickBot="1">
      <c r="A39" s="92"/>
      <c r="B39" s="93"/>
      <c r="C39" s="69"/>
      <c r="D39" s="69"/>
      <c r="E39" s="69"/>
      <c r="F39" s="69"/>
      <c r="G39" s="69"/>
      <c r="H39" s="69"/>
      <c r="I39" s="69"/>
      <c r="J39" s="105">
        <f t="shared" si="6"/>
        <v>0</v>
      </c>
      <c r="K39" s="114">
        <f t="shared" si="7"/>
        <v>0</v>
      </c>
      <c r="L39" s="118">
        <f t="shared" si="8"/>
        <v>0</v>
      </c>
      <c r="M39" s="111"/>
      <c r="N39" s="9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2"/>
    </row>
    <row r="40" spans="1:28" ht="16.5" customHeight="1" thickBot="1">
      <c r="A40" s="88"/>
      <c r="B40" s="89"/>
      <c r="C40" s="69"/>
      <c r="D40" s="69"/>
      <c r="E40" s="69"/>
      <c r="F40" s="69"/>
      <c r="G40" s="69"/>
      <c r="H40" s="69"/>
      <c r="I40" s="69"/>
      <c r="J40" s="105">
        <f t="shared" si="6"/>
        <v>0</v>
      </c>
      <c r="K40" s="114">
        <f t="shared" si="7"/>
        <v>0</v>
      </c>
      <c r="L40" s="118">
        <f t="shared" si="8"/>
        <v>0</v>
      </c>
      <c r="M40" s="111"/>
      <c r="N40" s="90" t="s">
        <v>146</v>
      </c>
      <c r="O40" s="140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4"/>
    </row>
    <row r="41" spans="1:28" ht="16.5" customHeight="1" thickBot="1">
      <c r="A41" s="69"/>
      <c r="B41" s="94"/>
      <c r="C41" s="69"/>
      <c r="D41" s="69"/>
      <c r="E41" s="69"/>
      <c r="F41" s="69"/>
      <c r="G41" s="69"/>
      <c r="H41" s="69"/>
      <c r="I41" s="69"/>
      <c r="J41" s="105">
        <f t="shared" si="6"/>
        <v>0</v>
      </c>
      <c r="K41" s="114">
        <f t="shared" si="7"/>
        <v>0</v>
      </c>
      <c r="L41" s="118">
        <f t="shared" si="8"/>
        <v>0</v>
      </c>
      <c r="M41" s="111"/>
      <c r="N41" s="91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9"/>
    </row>
    <row r="42" spans="1:28" ht="16.5" customHeight="1" thickBot="1">
      <c r="A42" s="69"/>
      <c r="B42" s="94"/>
      <c r="C42" s="69"/>
      <c r="D42" s="69"/>
      <c r="E42" s="69"/>
      <c r="F42" s="69"/>
      <c r="G42" s="69"/>
      <c r="H42" s="69"/>
      <c r="I42" s="69"/>
      <c r="J42" s="105">
        <f t="shared" si="6"/>
        <v>0</v>
      </c>
      <c r="K42" s="114">
        <f t="shared" si="7"/>
        <v>0</v>
      </c>
      <c r="L42" s="118">
        <f t="shared" si="8"/>
        <v>0</v>
      </c>
      <c r="M42" s="111"/>
      <c r="N42" s="90" t="s">
        <v>147</v>
      </c>
      <c r="O42" s="130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2"/>
    </row>
    <row r="43" spans="1:28" ht="17.25" customHeight="1" thickBot="1">
      <c r="A43" s="95"/>
      <c r="B43" s="95"/>
      <c r="C43" s="77">
        <f t="shared" ref="C43:J43" si="9">SUM(C34:C42)</f>
        <v>0</v>
      </c>
      <c r="D43" s="77">
        <f t="shared" si="9"/>
        <v>64</v>
      </c>
      <c r="E43" s="77">
        <f t="shared" si="9"/>
        <v>64</v>
      </c>
      <c r="F43" s="77">
        <f t="shared" si="9"/>
        <v>64</v>
      </c>
      <c r="G43" s="77">
        <f t="shared" si="9"/>
        <v>0</v>
      </c>
      <c r="H43" s="77">
        <f t="shared" si="9"/>
        <v>0</v>
      </c>
      <c r="I43" s="77">
        <f t="shared" si="9"/>
        <v>0</v>
      </c>
      <c r="J43" s="77">
        <f t="shared" si="9"/>
        <v>192</v>
      </c>
      <c r="K43" s="115"/>
      <c r="L43" s="119">
        <f>SUM(L34:L42)</f>
        <v>7387.2000000000007</v>
      </c>
      <c r="M43" s="111">
        <f>IFERROR(J28*_xlfn.XLOOKUP(_xlfn.XLOOKUP(A28,EquipmentLookup[Equipment ID],EquipmentLookup[Equipment Name]),EquipmentRates[EquipmentRates],EquipmentRates[Rate (HR)]),0)</f>
        <v>0</v>
      </c>
      <c r="N43" s="9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2"/>
    </row>
    <row r="44" spans="1:28" ht="18" customHeight="1" thickTop="1" thickBot="1">
      <c r="N44" s="90" t="s">
        <v>148</v>
      </c>
      <c r="O44" s="140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4"/>
    </row>
    <row r="45" spans="1:28" ht="16.5" customHeight="1">
      <c r="A45" s="96" t="s">
        <v>166</v>
      </c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8"/>
      <c r="N45" s="91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9"/>
    </row>
    <row r="46" spans="1:28" ht="16.5" customHeight="1" thickBot="1">
      <c r="A46" s="135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2"/>
      <c r="N46" s="90" t="s">
        <v>149</v>
      </c>
      <c r="O46" s="122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4"/>
    </row>
    <row r="47" spans="1:28" ht="17.25" customHeight="1" thickBot="1">
      <c r="A47" s="136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6"/>
      <c r="N47" s="99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6"/>
    </row>
  </sheetData>
  <mergeCells count="25">
    <mergeCell ref="AC12:AC14"/>
    <mergeCell ref="K18:M18"/>
    <mergeCell ref="O34:AB35"/>
    <mergeCell ref="K16:M16"/>
    <mergeCell ref="K25:M25"/>
    <mergeCell ref="K15:M15"/>
    <mergeCell ref="K24:M24"/>
    <mergeCell ref="K20:M20"/>
    <mergeCell ref="K21:M21"/>
    <mergeCell ref="K26:M26"/>
    <mergeCell ref="Z12:AB12"/>
    <mergeCell ref="O46:AB47"/>
    <mergeCell ref="K23:M23"/>
    <mergeCell ref="O42:AB43"/>
    <mergeCell ref="N32:AB33"/>
    <mergeCell ref="K17:M17"/>
    <mergeCell ref="A46:M47"/>
    <mergeCell ref="K19:M19"/>
    <mergeCell ref="O38:AB39"/>
    <mergeCell ref="O36:AB37"/>
    <mergeCell ref="O44:AB45"/>
    <mergeCell ref="K22:M22"/>
    <mergeCell ref="L28:M28"/>
    <mergeCell ref="O40:AB41"/>
    <mergeCell ref="K27:M27"/>
  </mergeCells>
  <dataValidations count="3">
    <dataValidation type="list" allowBlank="1" showInputMessage="1" showErrorMessage="1" sqref="B16" xr:uid="{00000000-0002-0000-0100-000000000000}">
      <formula1>INDIRECT("Laborrates[Classification]")</formula1>
    </dataValidation>
    <dataValidation type="list" allowBlank="1" sqref="B16:B27" xr:uid="{00000000-0002-0000-0100-000001000000}">
      <formula1>LaborClassList</formula1>
    </dataValidation>
    <dataValidation type="list" allowBlank="1" sqref="A34:A42" xr:uid="{00000000-0002-0000-0100-000002000000}">
      <formula1>EquipmentList</formula1>
    </dataValidation>
  </dataValidations>
  <pageMargins left="0.75" right="0.75" top="1" bottom="1" header="0.5" footer="0.5"/>
  <pageSetup scale="5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7"/>
  <sheetViews>
    <sheetView topLeftCell="A20" workbookViewId="0">
      <selection activeCell="A20" sqref="A1:XFD1048576"/>
    </sheetView>
  </sheetViews>
  <sheetFormatPr defaultRowHeight="15"/>
  <cols>
    <col min="1" max="1" width="17.140625" customWidth="1"/>
    <col min="2" max="2" width="15.5703125" customWidth="1"/>
    <col min="3" max="3" width="5.140625" customWidth="1"/>
    <col min="5" max="5" width="5.85546875" customWidth="1"/>
    <col min="6" max="6" width="5.42578125" customWidth="1"/>
    <col min="7" max="7" width="5" customWidth="1"/>
    <col min="8" max="8" width="5.42578125" customWidth="1"/>
    <col min="9" max="9" width="5.140625" customWidth="1"/>
    <col min="10" max="11" width="5.85546875" customWidth="1"/>
    <col min="12" max="12" width="9" customWidth="1"/>
    <col min="13" max="13" width="2.28515625" hidden="1" customWidth="1"/>
    <col min="14" max="14" width="5.7109375" customWidth="1"/>
    <col min="15" max="15" width="5.42578125" customWidth="1"/>
    <col min="16" max="16" width="5" customWidth="1"/>
    <col min="17" max="17" width="5.140625" customWidth="1"/>
    <col min="18" max="18" width="5.28515625" customWidth="1"/>
    <col min="19" max="19" width="5.5703125" customWidth="1"/>
    <col min="20" max="20" width="5.42578125" customWidth="1"/>
    <col min="21" max="21" width="5.7109375" customWidth="1"/>
    <col min="22" max="22" width="5.5703125" customWidth="1"/>
    <col min="23" max="23" width="5.7109375" customWidth="1"/>
    <col min="24" max="24" width="5.42578125" customWidth="1"/>
    <col min="25" max="25" width="5.140625" customWidth="1"/>
    <col min="26" max="26" width="6" customWidth="1"/>
    <col min="28" max="28" width="5.42578125" customWidth="1"/>
    <col min="29" max="29" width="15.5703125" customWidth="1"/>
  </cols>
  <sheetData>
    <row r="1" spans="1:29" ht="25.5" customHeight="1">
      <c r="B1" s="5" t="s">
        <v>87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9" ht="15.75" customHeight="1" thickBot="1">
      <c r="Y2" s="7" t="s">
        <v>88</v>
      </c>
      <c r="Z2" s="8"/>
      <c r="AA2" s="9" t="s">
        <v>89</v>
      </c>
      <c r="AB2" s="8"/>
    </row>
    <row r="3" spans="1:29" ht="15.75" customHeight="1" thickBot="1">
      <c r="C3" s="10"/>
      <c r="D3" s="11" t="s">
        <v>90</v>
      </c>
      <c r="E3" s="11"/>
      <c r="F3" s="11"/>
      <c r="G3" s="12"/>
      <c r="I3" s="10"/>
      <c r="J3" s="11" t="s">
        <v>91</v>
      </c>
      <c r="K3" s="11"/>
      <c r="L3" s="11"/>
      <c r="M3" s="11"/>
      <c r="N3" s="11"/>
      <c r="O3" s="11"/>
      <c r="P3" s="12"/>
      <c r="R3" s="13"/>
      <c r="S3" s="14" t="s">
        <v>92</v>
      </c>
      <c r="T3" s="15"/>
      <c r="U3" s="15"/>
      <c r="V3" s="16"/>
    </row>
    <row r="4" spans="1:29" ht="15.75" customHeight="1" thickBot="1">
      <c r="C4" s="10"/>
      <c r="D4" s="17" t="s">
        <v>93</v>
      </c>
      <c r="E4" s="17"/>
      <c r="F4" s="17"/>
      <c r="G4" s="18"/>
      <c r="I4" s="10"/>
      <c r="J4" s="17" t="s">
        <v>94</v>
      </c>
      <c r="K4" s="17"/>
      <c r="L4" s="17"/>
      <c r="M4" s="17"/>
      <c r="N4" s="17"/>
      <c r="O4" s="17"/>
      <c r="P4" s="18"/>
      <c r="R4" s="19"/>
      <c r="S4" s="20" t="s">
        <v>95</v>
      </c>
      <c r="T4" s="17"/>
      <c r="U4" s="17"/>
      <c r="V4" s="18"/>
      <c r="X4" s="13"/>
      <c r="Y4" s="20" t="s">
        <v>96</v>
      </c>
      <c r="Z4" s="17"/>
      <c r="AA4" s="18"/>
      <c r="AB4" s="18"/>
    </row>
    <row r="5" spans="1:29">
      <c r="E5" s="21"/>
    </row>
    <row r="6" spans="1:29" ht="17.25" customHeight="1">
      <c r="A6" s="22" t="s">
        <v>97</v>
      </c>
      <c r="B6" s="23" t="s">
        <v>98</v>
      </c>
      <c r="C6" s="23"/>
      <c r="D6" s="23"/>
      <c r="E6" s="24"/>
      <c r="F6" s="25"/>
      <c r="G6" s="26"/>
      <c r="H6" s="27"/>
      <c r="I6" s="27"/>
      <c r="J6" s="26" t="s">
        <v>99</v>
      </c>
      <c r="K6" s="26"/>
      <c r="L6" s="26"/>
      <c r="M6" s="28">
        <v>46047</v>
      </c>
      <c r="N6" s="22" t="s">
        <v>100</v>
      </c>
      <c r="O6" s="23"/>
      <c r="P6" s="29"/>
      <c r="Q6" s="23"/>
      <c r="R6" s="23"/>
      <c r="S6" s="23"/>
      <c r="T6" s="23"/>
      <c r="U6" s="23"/>
      <c r="V6" s="25"/>
      <c r="W6" s="30"/>
      <c r="X6" s="31"/>
      <c r="Y6" s="22" t="s">
        <v>101</v>
      </c>
      <c r="Z6" s="32"/>
      <c r="AA6" s="33"/>
      <c r="AB6" s="34"/>
    </row>
    <row r="7" spans="1:29" ht="17.25" customHeight="1">
      <c r="A7" s="35" t="s">
        <v>102</v>
      </c>
      <c r="B7" s="23" t="s">
        <v>46</v>
      </c>
      <c r="C7" s="23"/>
      <c r="D7" s="23"/>
      <c r="E7" s="24"/>
      <c r="F7" s="36"/>
      <c r="G7" s="37"/>
      <c r="H7" s="38"/>
      <c r="I7" s="38"/>
      <c r="J7" s="38" t="s">
        <v>103</v>
      </c>
      <c r="K7" s="38"/>
      <c r="L7" s="38"/>
      <c r="M7" s="39">
        <v>46048</v>
      </c>
      <c r="N7" s="35" t="s">
        <v>104</v>
      </c>
      <c r="O7" s="23"/>
      <c r="P7" s="40"/>
      <c r="Q7" s="40"/>
      <c r="R7" s="40"/>
      <c r="S7" s="40"/>
      <c r="T7" s="40"/>
      <c r="U7" s="40"/>
      <c r="V7" s="36"/>
      <c r="W7" s="41"/>
      <c r="X7" s="42"/>
      <c r="Y7" s="35" t="s">
        <v>105</v>
      </c>
      <c r="Z7" s="23"/>
      <c r="AA7" s="33"/>
      <c r="AB7" s="34"/>
    </row>
    <row r="8" spans="1:29" ht="17.25" customHeight="1">
      <c r="A8" s="35" t="s">
        <v>106</v>
      </c>
      <c r="B8" s="23"/>
      <c r="C8" s="23"/>
      <c r="D8" s="23"/>
      <c r="E8" s="24"/>
      <c r="F8" s="36"/>
      <c r="G8" s="37"/>
      <c r="H8" s="38"/>
      <c r="I8" s="38"/>
      <c r="J8" s="38"/>
      <c r="K8" s="38"/>
      <c r="L8" s="38"/>
      <c r="M8" s="38"/>
      <c r="N8" s="35" t="s">
        <v>107</v>
      </c>
      <c r="O8" s="23"/>
      <c r="P8" s="23"/>
      <c r="Q8" s="23"/>
      <c r="R8" s="23"/>
      <c r="S8" s="23"/>
      <c r="T8" s="23"/>
      <c r="U8" s="23"/>
      <c r="V8" s="36"/>
      <c r="W8" s="41"/>
      <c r="X8" s="42"/>
      <c r="Y8" s="35" t="s">
        <v>108</v>
      </c>
      <c r="Z8" s="23"/>
      <c r="AA8" s="33"/>
      <c r="AB8" s="34"/>
    </row>
    <row r="9" spans="1:29" ht="17.25" customHeight="1">
      <c r="A9" s="43" t="s">
        <v>109</v>
      </c>
      <c r="B9" s="44" t="s">
        <v>110</v>
      </c>
      <c r="C9" s="45"/>
      <c r="D9" s="45"/>
      <c r="E9" s="45"/>
      <c r="F9" s="46"/>
      <c r="G9" s="47"/>
      <c r="H9" s="48"/>
      <c r="I9" s="48"/>
      <c r="J9" s="48"/>
      <c r="K9" s="48"/>
      <c r="L9" s="48"/>
      <c r="M9" s="48"/>
      <c r="N9" s="43" t="s">
        <v>111</v>
      </c>
      <c r="O9" s="40"/>
      <c r="P9" s="40"/>
      <c r="Q9" s="40"/>
      <c r="R9" s="40"/>
      <c r="S9" s="40"/>
      <c r="T9" s="40"/>
      <c r="U9" s="40"/>
      <c r="V9" s="46"/>
      <c r="W9" s="49"/>
      <c r="X9" s="45" t="s">
        <v>112</v>
      </c>
      <c r="Y9" s="45"/>
      <c r="Z9" s="45"/>
      <c r="AA9" s="45"/>
      <c r="AB9" s="50"/>
    </row>
    <row r="10" spans="1:29" ht="12.6" customHeight="1" thickBot="1">
      <c r="A10" s="51" t="s">
        <v>113</v>
      </c>
      <c r="B10" s="51"/>
    </row>
    <row r="11" spans="1:29" ht="17.25" customHeight="1" thickBot="1">
      <c r="A11" s="51"/>
      <c r="B11" s="51"/>
      <c r="C11" s="52" t="s">
        <v>114</v>
      </c>
      <c r="D11" s="53"/>
      <c r="E11" s="54"/>
      <c r="F11" s="52" t="s">
        <v>115</v>
      </c>
      <c r="G11" s="53"/>
      <c r="H11" s="54"/>
      <c r="I11" s="52" t="s">
        <v>116</v>
      </c>
      <c r="J11" s="53"/>
      <c r="K11" s="53"/>
      <c r="L11" s="53"/>
      <c r="M11" s="54"/>
      <c r="N11" s="52" t="s">
        <v>117</v>
      </c>
      <c r="O11" s="53"/>
      <c r="P11" s="54"/>
      <c r="Q11" s="52" t="s">
        <v>118</v>
      </c>
      <c r="R11" s="53"/>
      <c r="S11" s="54"/>
      <c r="T11" s="52" t="s">
        <v>119</v>
      </c>
      <c r="U11" s="53"/>
      <c r="V11" s="54"/>
      <c r="W11" s="52" t="s">
        <v>120</v>
      </c>
      <c r="X11" s="53"/>
      <c r="Y11" s="54"/>
    </row>
    <row r="12" spans="1:29" ht="16.5" customHeight="1" thickBot="1">
      <c r="C12" s="55" t="s">
        <v>121</v>
      </c>
      <c r="D12" s="56" t="s">
        <v>122</v>
      </c>
      <c r="E12" s="57"/>
      <c r="F12" s="55" t="s">
        <v>121</v>
      </c>
      <c r="G12" s="56" t="s">
        <v>123</v>
      </c>
      <c r="H12" s="57"/>
      <c r="I12" s="55" t="s">
        <v>121</v>
      </c>
      <c r="J12" s="56" t="s">
        <v>124</v>
      </c>
      <c r="K12" s="56"/>
      <c r="L12" s="56"/>
      <c r="M12" s="57"/>
      <c r="N12" s="55" t="s">
        <v>121</v>
      </c>
      <c r="O12" s="56" t="s">
        <v>125</v>
      </c>
      <c r="P12" s="57"/>
      <c r="Q12" s="55" t="s">
        <v>121</v>
      </c>
      <c r="R12" s="56" t="s">
        <v>126</v>
      </c>
      <c r="S12" s="57"/>
      <c r="T12" s="55" t="s">
        <v>121</v>
      </c>
      <c r="U12" s="56" t="s">
        <v>127</v>
      </c>
      <c r="V12" s="57"/>
      <c r="W12" s="55" t="s">
        <v>121</v>
      </c>
      <c r="X12" s="56" t="s">
        <v>128</v>
      </c>
      <c r="Y12" s="58"/>
      <c r="Z12" s="149" t="s">
        <v>129</v>
      </c>
      <c r="AA12" s="150"/>
      <c r="AB12" s="151"/>
      <c r="AC12" s="143" t="s">
        <v>130</v>
      </c>
    </row>
    <row r="13" spans="1:29" ht="16.5" customHeight="1">
      <c r="C13" s="59" t="s">
        <v>131</v>
      </c>
      <c r="D13" s="56"/>
      <c r="E13" s="57"/>
      <c r="F13" s="59" t="s">
        <v>131</v>
      </c>
      <c r="G13" s="56"/>
      <c r="H13" s="57"/>
      <c r="I13" s="59" t="s">
        <v>131</v>
      </c>
      <c r="J13" s="56"/>
      <c r="K13" s="56"/>
      <c r="L13" s="56"/>
      <c r="M13" s="57"/>
      <c r="N13" s="59" t="s">
        <v>131</v>
      </c>
      <c r="O13" s="56"/>
      <c r="P13" s="57"/>
      <c r="Q13" s="59" t="s">
        <v>131</v>
      </c>
      <c r="R13" s="56"/>
      <c r="S13" s="57"/>
      <c r="T13" s="59" t="s">
        <v>131</v>
      </c>
      <c r="U13" s="56"/>
      <c r="V13" s="57"/>
      <c r="W13" s="59" t="s">
        <v>131</v>
      </c>
      <c r="X13" s="56"/>
      <c r="Y13" s="58"/>
      <c r="Z13" s="60"/>
      <c r="AA13" s="61"/>
      <c r="AB13" s="62"/>
      <c r="AC13" s="144"/>
    </row>
    <row r="14" spans="1:29" ht="17.25" customHeight="1" thickBot="1">
      <c r="C14" s="59" t="s">
        <v>132</v>
      </c>
      <c r="D14" s="56"/>
      <c r="E14" s="57"/>
      <c r="F14" s="59" t="s">
        <v>132</v>
      </c>
      <c r="G14" s="56"/>
      <c r="H14" s="57"/>
      <c r="I14" s="59" t="s">
        <v>132</v>
      </c>
      <c r="J14" s="56"/>
      <c r="K14" s="56"/>
      <c r="L14" s="56"/>
      <c r="M14" s="57"/>
      <c r="N14" s="59" t="s">
        <v>132</v>
      </c>
      <c r="O14" s="56"/>
      <c r="P14" s="57"/>
      <c r="Q14" s="59" t="s">
        <v>132</v>
      </c>
      <c r="R14" s="56"/>
      <c r="S14" s="57"/>
      <c r="T14" s="59" t="s">
        <v>132</v>
      </c>
      <c r="U14" s="56"/>
      <c r="V14" s="57"/>
      <c r="W14" s="59" t="s">
        <v>132</v>
      </c>
      <c r="X14" s="56"/>
      <c r="Y14" s="58"/>
      <c r="Z14" s="60"/>
      <c r="AA14" s="61"/>
      <c r="AB14" s="63"/>
      <c r="AC14" s="145"/>
    </row>
    <row r="15" spans="1:29" ht="16.5" customHeight="1" thickBot="1">
      <c r="A15" s="64" t="s">
        <v>133</v>
      </c>
      <c r="B15" s="64" t="s">
        <v>134</v>
      </c>
      <c r="C15" s="65" t="s">
        <v>135</v>
      </c>
      <c r="D15" s="66" t="s">
        <v>136</v>
      </c>
      <c r="E15" s="67" t="s">
        <v>137</v>
      </c>
      <c r="F15" s="65" t="s">
        <v>135</v>
      </c>
      <c r="G15" s="66" t="s">
        <v>136</v>
      </c>
      <c r="H15" s="67" t="s">
        <v>137</v>
      </c>
      <c r="I15" s="65" t="s">
        <v>135</v>
      </c>
      <c r="J15" s="66" t="s">
        <v>136</v>
      </c>
      <c r="K15" s="148" t="s">
        <v>137</v>
      </c>
      <c r="L15" s="128"/>
      <c r="M15" s="129"/>
      <c r="N15" s="65" t="s">
        <v>135</v>
      </c>
      <c r="O15" s="66" t="s">
        <v>136</v>
      </c>
      <c r="P15" s="67" t="s">
        <v>137</v>
      </c>
      <c r="Q15" s="65" t="s">
        <v>135</v>
      </c>
      <c r="R15" s="66" t="s">
        <v>136</v>
      </c>
      <c r="S15" s="67" t="s">
        <v>137</v>
      </c>
      <c r="T15" s="65" t="s">
        <v>135</v>
      </c>
      <c r="U15" s="66" t="s">
        <v>136</v>
      </c>
      <c r="V15" s="67" t="s">
        <v>137</v>
      </c>
      <c r="W15" s="65" t="s">
        <v>135</v>
      </c>
      <c r="X15" s="66" t="s">
        <v>136</v>
      </c>
      <c r="Y15" s="68" t="s">
        <v>137</v>
      </c>
      <c r="Z15" s="65" t="s">
        <v>135</v>
      </c>
      <c r="AA15" s="66" t="s">
        <v>136</v>
      </c>
      <c r="AB15" s="101" t="s">
        <v>137</v>
      </c>
      <c r="AC15" s="107" t="s">
        <v>130</v>
      </c>
    </row>
    <row r="16" spans="1:29" ht="12.75" customHeight="1" thickBot="1">
      <c r="A16" s="69" t="s">
        <v>251</v>
      </c>
      <c r="B16" s="69" t="s">
        <v>138</v>
      </c>
      <c r="C16" s="70"/>
      <c r="D16" s="69"/>
      <c r="E16" s="71"/>
      <c r="F16" s="70"/>
      <c r="G16" s="69">
        <v>16</v>
      </c>
      <c r="H16" s="71"/>
      <c r="I16" s="70"/>
      <c r="J16" s="69">
        <v>0</v>
      </c>
      <c r="K16" s="127"/>
      <c r="L16" s="128"/>
      <c r="M16" s="129"/>
      <c r="N16" s="70"/>
      <c r="O16" s="69">
        <v>0</v>
      </c>
      <c r="P16" s="71"/>
      <c r="Q16" s="70"/>
      <c r="R16" s="69"/>
      <c r="S16" s="71"/>
      <c r="T16" s="70"/>
      <c r="U16" s="69"/>
      <c r="V16" s="71"/>
      <c r="W16" s="70"/>
      <c r="X16" s="69"/>
      <c r="Y16" s="72"/>
      <c r="Z16" s="70">
        <f t="shared" ref="Z16:Z27" si="0">SUM(C16,F16,I16,N16,Q16,T16,W16)</f>
        <v>0</v>
      </c>
      <c r="AA16" s="70">
        <f t="shared" ref="AA16:AA27" si="1">SUM(D16,G16,J16,O16,R16,U16,X16)</f>
        <v>16</v>
      </c>
      <c r="AB16" s="102">
        <f t="shared" ref="AB16:AB27" si="2">SUM(E16,H16,M16,P16,S16,V16,Y16)</f>
        <v>0</v>
      </c>
      <c r="AC16" s="120">
        <f t="shared" ref="AC16:AC27" si="3">IFERROR(Z16*VLOOKUP(B16,LaborRateTable,2,FALSE)+AA16*VLOOKUP(B16,LaborRateTable,3,FALSE)+AB16*VLOOKUP(B16,LaborRateTable,4,FALSE),0)</f>
        <v>1536</v>
      </c>
    </row>
    <row r="17" spans="1:29" ht="12.75" customHeight="1" thickBot="1">
      <c r="A17" s="69" t="s">
        <v>141</v>
      </c>
      <c r="B17" s="69" t="s">
        <v>139</v>
      </c>
      <c r="C17" s="70"/>
      <c r="D17" s="69"/>
      <c r="E17" s="71"/>
      <c r="F17" s="70"/>
      <c r="G17" s="69">
        <v>16</v>
      </c>
      <c r="H17" s="71"/>
      <c r="I17" s="70"/>
      <c r="J17" s="69">
        <v>0</v>
      </c>
      <c r="K17" s="127"/>
      <c r="L17" s="128"/>
      <c r="M17" s="129"/>
      <c r="N17" s="70"/>
      <c r="O17" s="69">
        <v>0</v>
      </c>
      <c r="P17" s="71"/>
      <c r="Q17" s="70"/>
      <c r="R17" s="69"/>
      <c r="S17" s="71"/>
      <c r="T17" s="70"/>
      <c r="U17" s="69"/>
      <c r="V17" s="71"/>
      <c r="W17" s="70"/>
      <c r="X17" s="69"/>
      <c r="Y17" s="72"/>
      <c r="Z17" s="70">
        <f t="shared" si="0"/>
        <v>0</v>
      </c>
      <c r="AA17" s="70">
        <f t="shared" si="1"/>
        <v>16</v>
      </c>
      <c r="AB17" s="102">
        <f t="shared" si="2"/>
        <v>0</v>
      </c>
      <c r="AC17" s="120">
        <f t="shared" si="3"/>
        <v>1430.4</v>
      </c>
    </row>
    <row r="18" spans="1:29" ht="12.75" customHeight="1" thickBot="1">
      <c r="A18" s="69" t="s">
        <v>62</v>
      </c>
      <c r="B18" s="69" t="s">
        <v>26</v>
      </c>
      <c r="C18" s="70"/>
      <c r="D18" s="69"/>
      <c r="E18" s="71"/>
      <c r="F18" s="70"/>
      <c r="G18" s="69">
        <v>16</v>
      </c>
      <c r="H18" s="71"/>
      <c r="I18" s="70"/>
      <c r="J18" s="69">
        <v>0</v>
      </c>
      <c r="K18" s="127"/>
      <c r="L18" s="128"/>
      <c r="M18" s="129"/>
      <c r="N18" s="70"/>
      <c r="O18" s="69">
        <v>0</v>
      </c>
      <c r="P18" s="71"/>
      <c r="Q18" s="70"/>
      <c r="R18" s="69"/>
      <c r="S18" s="71"/>
      <c r="T18" s="70"/>
      <c r="U18" s="69"/>
      <c r="V18" s="71"/>
      <c r="W18" s="70"/>
      <c r="X18" s="69"/>
      <c r="Y18" s="72"/>
      <c r="Z18" s="70">
        <f t="shared" si="0"/>
        <v>0</v>
      </c>
      <c r="AA18" s="70">
        <f t="shared" si="1"/>
        <v>16</v>
      </c>
      <c r="AB18" s="102">
        <f t="shared" si="2"/>
        <v>0</v>
      </c>
      <c r="AC18" s="120">
        <f t="shared" si="3"/>
        <v>1344</v>
      </c>
    </row>
    <row r="19" spans="1:29" ht="12.75" customHeight="1" thickBot="1">
      <c r="A19" s="69" t="s">
        <v>252</v>
      </c>
      <c r="B19" s="103" t="s">
        <v>139</v>
      </c>
      <c r="C19" s="70"/>
      <c r="D19" s="69"/>
      <c r="E19" s="71"/>
      <c r="F19" s="70"/>
      <c r="G19" s="69">
        <v>16</v>
      </c>
      <c r="H19" s="71"/>
      <c r="I19" s="70"/>
      <c r="J19" s="69">
        <v>0</v>
      </c>
      <c r="K19" s="127"/>
      <c r="L19" s="128"/>
      <c r="M19" s="129"/>
      <c r="N19" s="70"/>
      <c r="O19" s="69">
        <v>0</v>
      </c>
      <c r="P19" s="71"/>
      <c r="Q19" s="70"/>
      <c r="R19" s="69"/>
      <c r="S19" s="71"/>
      <c r="T19" s="70"/>
      <c r="U19" s="69"/>
      <c r="V19" s="71"/>
      <c r="W19" s="70"/>
      <c r="X19" s="69"/>
      <c r="Y19" s="72"/>
      <c r="Z19" s="70">
        <f t="shared" si="0"/>
        <v>0</v>
      </c>
      <c r="AA19" s="70">
        <f t="shared" si="1"/>
        <v>16</v>
      </c>
      <c r="AB19" s="102">
        <f t="shared" si="2"/>
        <v>0</v>
      </c>
      <c r="AC19" s="120">
        <f t="shared" si="3"/>
        <v>1430.4</v>
      </c>
    </row>
    <row r="20" spans="1:29" ht="12.75" customHeight="1" thickBot="1">
      <c r="A20" s="69" t="s">
        <v>140</v>
      </c>
      <c r="B20" s="69" t="s">
        <v>138</v>
      </c>
      <c r="C20" s="70"/>
      <c r="D20" s="69"/>
      <c r="E20" s="71"/>
      <c r="F20" s="70"/>
      <c r="G20" s="69">
        <v>0</v>
      </c>
      <c r="H20" s="71"/>
      <c r="I20" s="70"/>
      <c r="J20" s="69">
        <v>16</v>
      </c>
      <c r="K20" s="127"/>
      <c r="L20" s="128"/>
      <c r="M20" s="129"/>
      <c r="N20" s="70"/>
      <c r="O20" s="69">
        <v>0</v>
      </c>
      <c r="P20" s="71"/>
      <c r="Q20" s="70"/>
      <c r="R20" s="69"/>
      <c r="S20" s="71"/>
      <c r="T20" s="70"/>
      <c r="U20" s="69"/>
      <c r="V20" s="71"/>
      <c r="W20" s="70"/>
      <c r="X20" s="69"/>
      <c r="Y20" s="72"/>
      <c r="Z20" s="70">
        <f t="shared" si="0"/>
        <v>0</v>
      </c>
      <c r="AA20" s="70">
        <f t="shared" si="1"/>
        <v>16</v>
      </c>
      <c r="AB20" s="102">
        <f t="shared" si="2"/>
        <v>0</v>
      </c>
      <c r="AC20" s="120">
        <f t="shared" si="3"/>
        <v>1536</v>
      </c>
    </row>
    <row r="21" spans="1:29" ht="12.75" customHeight="1" thickBot="1">
      <c r="A21" s="69" t="s">
        <v>253</v>
      </c>
      <c r="B21" s="69" t="s">
        <v>26</v>
      </c>
      <c r="C21" s="70"/>
      <c r="D21" s="69"/>
      <c r="E21" s="71"/>
      <c r="F21" s="70"/>
      <c r="G21" s="69">
        <v>0</v>
      </c>
      <c r="H21" s="71"/>
      <c r="I21" s="70"/>
      <c r="J21" s="69">
        <v>16</v>
      </c>
      <c r="K21" s="127"/>
      <c r="L21" s="128"/>
      <c r="M21" s="129"/>
      <c r="N21" s="70"/>
      <c r="O21" s="69">
        <v>0</v>
      </c>
      <c r="P21" s="71"/>
      <c r="Q21" s="70"/>
      <c r="R21" s="69"/>
      <c r="S21" s="71"/>
      <c r="T21" s="70"/>
      <c r="U21" s="69"/>
      <c r="V21" s="71"/>
      <c r="W21" s="70"/>
      <c r="X21" s="69"/>
      <c r="Y21" s="72"/>
      <c r="Z21" s="70">
        <f t="shared" si="0"/>
        <v>0</v>
      </c>
      <c r="AA21" s="70">
        <f t="shared" si="1"/>
        <v>16</v>
      </c>
      <c r="AB21" s="102">
        <f t="shared" si="2"/>
        <v>0</v>
      </c>
      <c r="AC21" s="120">
        <f t="shared" si="3"/>
        <v>1344</v>
      </c>
    </row>
    <row r="22" spans="1:29" ht="12.75" customHeight="1" thickBot="1">
      <c r="A22" s="69" t="s">
        <v>254</v>
      </c>
      <c r="B22" s="100" t="s">
        <v>19</v>
      </c>
      <c r="C22" s="70"/>
      <c r="D22" s="69"/>
      <c r="E22" s="71"/>
      <c r="F22" s="70"/>
      <c r="G22" s="69">
        <v>0</v>
      </c>
      <c r="H22" s="71"/>
      <c r="I22" s="70"/>
      <c r="J22" s="69">
        <v>16</v>
      </c>
      <c r="K22" s="127"/>
      <c r="L22" s="128"/>
      <c r="M22" s="129"/>
      <c r="N22" s="70"/>
      <c r="O22" s="69">
        <v>16</v>
      </c>
      <c r="P22" s="71"/>
      <c r="Q22" s="70"/>
      <c r="R22" s="69"/>
      <c r="S22" s="71"/>
      <c r="T22" s="70"/>
      <c r="U22" s="69"/>
      <c r="V22" s="71"/>
      <c r="W22" s="70"/>
      <c r="X22" s="69"/>
      <c r="Y22" s="72"/>
      <c r="Z22" s="70">
        <f t="shared" si="0"/>
        <v>0</v>
      </c>
      <c r="AA22" s="70">
        <f t="shared" si="1"/>
        <v>32</v>
      </c>
      <c r="AB22" s="102">
        <f t="shared" si="2"/>
        <v>0</v>
      </c>
      <c r="AC22" s="120">
        <f t="shared" si="3"/>
        <v>3571.2</v>
      </c>
    </row>
    <row r="23" spans="1:29" ht="12.75" customHeight="1" thickBot="1">
      <c r="A23" s="69" t="s">
        <v>73</v>
      </c>
      <c r="B23" s="69" t="s">
        <v>139</v>
      </c>
      <c r="C23" s="70"/>
      <c r="D23" s="69"/>
      <c r="E23" s="71"/>
      <c r="F23" s="70"/>
      <c r="G23" s="69">
        <v>0</v>
      </c>
      <c r="H23" s="71"/>
      <c r="I23" s="70"/>
      <c r="J23" s="69">
        <v>16</v>
      </c>
      <c r="K23" s="127"/>
      <c r="L23" s="128"/>
      <c r="M23" s="129"/>
      <c r="N23" s="70"/>
      <c r="O23" s="69">
        <v>16</v>
      </c>
      <c r="P23" s="71"/>
      <c r="Q23" s="70"/>
      <c r="R23" s="69"/>
      <c r="S23" s="71"/>
      <c r="T23" s="70"/>
      <c r="U23" s="69"/>
      <c r="V23" s="71"/>
      <c r="W23" s="70"/>
      <c r="X23" s="69"/>
      <c r="Y23" s="72"/>
      <c r="Z23" s="70">
        <f t="shared" si="0"/>
        <v>0</v>
      </c>
      <c r="AA23" s="70">
        <f t="shared" si="1"/>
        <v>32</v>
      </c>
      <c r="AB23" s="102">
        <f t="shared" si="2"/>
        <v>0</v>
      </c>
      <c r="AC23" s="120">
        <f t="shared" si="3"/>
        <v>2860.8</v>
      </c>
    </row>
    <row r="24" spans="1:29" ht="12.75" customHeight="1" thickBot="1">
      <c r="A24" s="69"/>
      <c r="B24" s="69"/>
      <c r="C24" s="70"/>
      <c r="D24" s="69"/>
      <c r="E24" s="71"/>
      <c r="F24" s="70"/>
      <c r="G24" s="69"/>
      <c r="H24" s="71"/>
      <c r="I24" s="70"/>
      <c r="J24" s="69"/>
      <c r="K24" s="127"/>
      <c r="L24" s="128"/>
      <c r="M24" s="129"/>
      <c r="N24" s="70"/>
      <c r="O24" s="69"/>
      <c r="P24" s="71"/>
      <c r="Q24" s="70"/>
      <c r="R24" s="69"/>
      <c r="S24" s="71"/>
      <c r="T24" s="70"/>
      <c r="U24" s="69"/>
      <c r="V24" s="71"/>
      <c r="W24" s="70"/>
      <c r="X24" s="69"/>
      <c r="Y24" s="72"/>
      <c r="Z24" s="70">
        <f t="shared" si="0"/>
        <v>0</v>
      </c>
      <c r="AA24" s="70">
        <f t="shared" si="1"/>
        <v>0</v>
      </c>
      <c r="AB24" s="102">
        <f t="shared" si="2"/>
        <v>0</v>
      </c>
      <c r="AC24" s="120">
        <f t="shared" si="3"/>
        <v>0</v>
      </c>
    </row>
    <row r="25" spans="1:29" ht="12.75" customHeight="1" thickBot="1">
      <c r="A25" s="69"/>
      <c r="B25" s="69"/>
      <c r="C25" s="70"/>
      <c r="D25" s="69"/>
      <c r="E25" s="71"/>
      <c r="F25" s="70"/>
      <c r="G25" s="69"/>
      <c r="H25" s="71"/>
      <c r="I25" s="70"/>
      <c r="J25" s="69"/>
      <c r="K25" s="127"/>
      <c r="L25" s="128"/>
      <c r="M25" s="129"/>
      <c r="N25" s="70"/>
      <c r="O25" s="69"/>
      <c r="P25" s="71"/>
      <c r="Q25" s="70"/>
      <c r="R25" s="69"/>
      <c r="S25" s="71"/>
      <c r="T25" s="70"/>
      <c r="U25" s="69"/>
      <c r="V25" s="71"/>
      <c r="W25" s="70"/>
      <c r="X25" s="69"/>
      <c r="Y25" s="72"/>
      <c r="Z25" s="70">
        <f t="shared" si="0"/>
        <v>0</v>
      </c>
      <c r="AA25" s="70">
        <f t="shared" si="1"/>
        <v>0</v>
      </c>
      <c r="AB25" s="102">
        <f t="shared" si="2"/>
        <v>0</v>
      </c>
      <c r="AC25" s="120">
        <f t="shared" si="3"/>
        <v>0</v>
      </c>
    </row>
    <row r="26" spans="1:29" ht="12.75" customHeight="1" thickBot="1">
      <c r="A26" s="69"/>
      <c r="B26" s="69"/>
      <c r="C26" s="70"/>
      <c r="D26" s="69"/>
      <c r="E26" s="71"/>
      <c r="F26" s="70"/>
      <c r="G26" s="69"/>
      <c r="H26" s="71"/>
      <c r="I26" s="70"/>
      <c r="J26" s="69"/>
      <c r="K26" s="127"/>
      <c r="L26" s="128"/>
      <c r="M26" s="129"/>
      <c r="N26" s="70"/>
      <c r="O26" s="69"/>
      <c r="P26" s="71"/>
      <c r="Q26" s="70"/>
      <c r="R26" s="69"/>
      <c r="S26" s="71"/>
      <c r="T26" s="70"/>
      <c r="U26" s="69"/>
      <c r="V26" s="71"/>
      <c r="W26" s="70"/>
      <c r="X26" s="69"/>
      <c r="Y26" s="72"/>
      <c r="Z26" s="70">
        <f t="shared" si="0"/>
        <v>0</v>
      </c>
      <c r="AA26" s="70">
        <f t="shared" si="1"/>
        <v>0</v>
      </c>
      <c r="AB26" s="102">
        <f t="shared" si="2"/>
        <v>0</v>
      </c>
      <c r="AC26" s="120">
        <f t="shared" si="3"/>
        <v>0</v>
      </c>
    </row>
    <row r="27" spans="1:29" ht="12.75" customHeight="1" thickBot="1">
      <c r="A27" s="69"/>
      <c r="B27" s="69"/>
      <c r="C27" s="73"/>
      <c r="D27" s="74"/>
      <c r="E27" s="75"/>
      <c r="F27" s="73"/>
      <c r="G27" s="74"/>
      <c r="H27" s="75"/>
      <c r="I27" s="73"/>
      <c r="J27" s="74"/>
      <c r="K27" s="127"/>
      <c r="L27" s="128"/>
      <c r="M27" s="129"/>
      <c r="N27" s="73"/>
      <c r="O27" s="74"/>
      <c r="P27" s="75"/>
      <c r="Q27" s="73"/>
      <c r="R27" s="74"/>
      <c r="S27" s="75"/>
      <c r="T27" s="73"/>
      <c r="U27" s="74"/>
      <c r="V27" s="75"/>
      <c r="W27" s="73"/>
      <c r="X27" s="74"/>
      <c r="Y27" s="76"/>
      <c r="Z27" s="70">
        <f t="shared" si="0"/>
        <v>0</v>
      </c>
      <c r="AA27" s="70">
        <f t="shared" si="1"/>
        <v>0</v>
      </c>
      <c r="AB27" s="102">
        <f t="shared" si="2"/>
        <v>0</v>
      </c>
      <c r="AC27" s="120">
        <f t="shared" si="3"/>
        <v>0</v>
      </c>
    </row>
    <row r="28" spans="1:29" ht="14.1" customHeight="1" thickBot="1">
      <c r="C28" s="77">
        <f t="shared" ref="C28:J28" si="4">SUM(C16:C27)</f>
        <v>0</v>
      </c>
      <c r="D28" s="77">
        <f t="shared" si="4"/>
        <v>0</v>
      </c>
      <c r="E28" s="77">
        <f t="shared" si="4"/>
        <v>0</v>
      </c>
      <c r="F28" s="77">
        <f t="shared" si="4"/>
        <v>0</v>
      </c>
      <c r="G28" s="77">
        <f t="shared" si="4"/>
        <v>64</v>
      </c>
      <c r="H28" s="77">
        <f t="shared" si="4"/>
        <v>0</v>
      </c>
      <c r="I28" s="77">
        <f t="shared" si="4"/>
        <v>0</v>
      </c>
      <c r="J28" s="77">
        <f t="shared" si="4"/>
        <v>64</v>
      </c>
      <c r="K28" s="77"/>
      <c r="L28" s="141">
        <f>SUM(M16:M27)</f>
        <v>0</v>
      </c>
      <c r="M28" s="142"/>
      <c r="N28" s="77">
        <f t="shared" ref="N28:AC28" si="5">SUM(N16:N27)</f>
        <v>0</v>
      </c>
      <c r="O28" s="77">
        <f t="shared" si="5"/>
        <v>32</v>
      </c>
      <c r="P28" s="77">
        <f t="shared" si="5"/>
        <v>0</v>
      </c>
      <c r="Q28" s="77">
        <f t="shared" si="5"/>
        <v>0</v>
      </c>
      <c r="R28" s="77">
        <f t="shared" si="5"/>
        <v>0</v>
      </c>
      <c r="S28" s="77">
        <f t="shared" si="5"/>
        <v>0</v>
      </c>
      <c r="T28" s="77">
        <f t="shared" si="5"/>
        <v>0</v>
      </c>
      <c r="U28" s="77">
        <f t="shared" si="5"/>
        <v>0</v>
      </c>
      <c r="V28" s="77">
        <f t="shared" si="5"/>
        <v>0</v>
      </c>
      <c r="W28" s="77">
        <f t="shared" si="5"/>
        <v>0</v>
      </c>
      <c r="X28" s="77">
        <f t="shared" si="5"/>
        <v>0</v>
      </c>
      <c r="Y28" s="77">
        <f t="shared" si="5"/>
        <v>0</v>
      </c>
      <c r="Z28" s="77">
        <f t="shared" si="5"/>
        <v>0</v>
      </c>
      <c r="AA28" s="77">
        <f t="shared" si="5"/>
        <v>160</v>
      </c>
      <c r="AB28" s="77">
        <f t="shared" si="5"/>
        <v>0</v>
      </c>
      <c r="AC28" s="121">
        <f t="shared" si="5"/>
        <v>15052.8</v>
      </c>
    </row>
    <row r="29" spans="1:29" ht="17.25" customHeight="1" thickTop="1">
      <c r="A29" s="78" t="s">
        <v>142</v>
      </c>
    </row>
    <row r="30" spans="1:29" ht="7.5" customHeight="1" thickBot="1"/>
    <row r="31" spans="1:29" ht="15.6" customHeight="1">
      <c r="C31" s="79" t="s">
        <v>143</v>
      </c>
      <c r="D31" s="79" t="s">
        <v>144</v>
      </c>
      <c r="E31" s="79" t="s">
        <v>145</v>
      </c>
      <c r="F31" s="79" t="s">
        <v>146</v>
      </c>
      <c r="G31" s="79" t="s">
        <v>147</v>
      </c>
      <c r="H31" s="79" t="s">
        <v>148</v>
      </c>
      <c r="I31" s="80" t="s">
        <v>149</v>
      </c>
      <c r="N31" s="81" t="s">
        <v>150</v>
      </c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3"/>
    </row>
    <row r="32" spans="1:29" ht="16.5" customHeight="1" thickBot="1">
      <c r="A32" s="84"/>
      <c r="B32" s="84"/>
      <c r="C32" s="85"/>
      <c r="D32" s="85"/>
      <c r="E32" s="85"/>
      <c r="F32" s="85"/>
      <c r="G32" s="85"/>
      <c r="H32" s="85"/>
      <c r="I32" s="85"/>
      <c r="J32" s="86"/>
      <c r="K32" s="112"/>
      <c r="L32" s="112"/>
      <c r="N32" s="133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2"/>
    </row>
    <row r="33" spans="1:28" ht="27.75" customHeight="1" thickBot="1">
      <c r="A33" s="87" t="s">
        <v>151</v>
      </c>
      <c r="B33" s="87" t="s">
        <v>152</v>
      </c>
      <c r="C33" s="66" t="s">
        <v>153</v>
      </c>
      <c r="D33" s="66" t="s">
        <v>153</v>
      </c>
      <c r="E33" s="66" t="s">
        <v>153</v>
      </c>
      <c r="F33" s="66" t="s">
        <v>153</v>
      </c>
      <c r="G33" s="66" t="s">
        <v>153</v>
      </c>
      <c r="H33" s="66" t="s">
        <v>153</v>
      </c>
      <c r="I33" s="66" t="s">
        <v>153</v>
      </c>
      <c r="J33" s="104" t="s">
        <v>154</v>
      </c>
      <c r="K33" s="113" t="s">
        <v>155</v>
      </c>
      <c r="L33" s="113" t="s">
        <v>156</v>
      </c>
      <c r="M33" s="116" t="s">
        <v>157</v>
      </c>
      <c r="N33" s="134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2"/>
    </row>
    <row r="34" spans="1:28" ht="14.45" customHeight="1" thickBot="1">
      <c r="A34" s="88" t="s">
        <v>158</v>
      </c>
      <c r="B34" s="106" t="s">
        <v>159</v>
      </c>
      <c r="C34" s="69"/>
      <c r="D34" s="69">
        <v>16</v>
      </c>
      <c r="E34" s="69">
        <v>16</v>
      </c>
      <c r="F34" s="69">
        <v>0</v>
      </c>
      <c r="G34" s="69"/>
      <c r="H34" s="69"/>
      <c r="I34" s="69"/>
      <c r="J34" s="105">
        <f t="shared" ref="J34:J42" si="6">IFERROR(SUM(C34:I34),0)</f>
        <v>32</v>
      </c>
      <c r="K34" s="114">
        <f t="shared" ref="K34:K42" si="7">IFERROR(VLOOKUP(A34,EquipmentRateTable,2,FALSE),0)</f>
        <v>48</v>
      </c>
      <c r="L34" s="117">
        <f t="shared" ref="L34:L42" si="8">IFERROR(J34*K34,0)</f>
        <v>1536</v>
      </c>
      <c r="M34" s="111"/>
      <c r="N34" s="90" t="s">
        <v>143</v>
      </c>
      <c r="O34" s="146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4"/>
    </row>
    <row r="35" spans="1:28" ht="15" customHeight="1" thickBot="1">
      <c r="A35" s="88" t="s">
        <v>160</v>
      </c>
      <c r="B35" s="106" t="s">
        <v>161</v>
      </c>
      <c r="C35" s="69"/>
      <c r="D35" s="69">
        <v>16</v>
      </c>
      <c r="E35" s="69">
        <v>16</v>
      </c>
      <c r="F35" s="69">
        <v>0</v>
      </c>
      <c r="G35" s="69"/>
      <c r="H35" s="69"/>
      <c r="I35" s="69"/>
      <c r="J35" s="105">
        <f t="shared" si="6"/>
        <v>32</v>
      </c>
      <c r="K35" s="114">
        <f t="shared" si="7"/>
        <v>67.2</v>
      </c>
      <c r="L35" s="118">
        <f t="shared" si="8"/>
        <v>2150.4</v>
      </c>
      <c r="M35" s="111"/>
      <c r="N35" s="91"/>
      <c r="O35" s="147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9"/>
    </row>
    <row r="36" spans="1:28" ht="14.45" customHeight="1" thickBot="1">
      <c r="A36" s="88" t="s">
        <v>162</v>
      </c>
      <c r="B36" s="106" t="s">
        <v>163</v>
      </c>
      <c r="C36" s="69"/>
      <c r="D36" s="69">
        <v>16</v>
      </c>
      <c r="E36" s="69">
        <v>16</v>
      </c>
      <c r="F36" s="69">
        <v>0</v>
      </c>
      <c r="G36" s="69"/>
      <c r="H36" s="69"/>
      <c r="I36" s="69"/>
      <c r="J36" s="105">
        <f t="shared" si="6"/>
        <v>32</v>
      </c>
      <c r="K36" s="114">
        <f t="shared" si="7"/>
        <v>13.5</v>
      </c>
      <c r="L36" s="118">
        <f t="shared" si="8"/>
        <v>432</v>
      </c>
      <c r="M36" s="111"/>
      <c r="N36" s="90" t="s">
        <v>144</v>
      </c>
      <c r="O36" s="137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4"/>
    </row>
    <row r="37" spans="1:28" ht="15" customHeight="1" thickBot="1">
      <c r="A37" s="88" t="s">
        <v>164</v>
      </c>
      <c r="B37" s="106" t="s">
        <v>165</v>
      </c>
      <c r="C37" s="69"/>
      <c r="D37" s="69">
        <v>16</v>
      </c>
      <c r="E37" s="69">
        <v>16</v>
      </c>
      <c r="F37" s="69">
        <v>16</v>
      </c>
      <c r="G37" s="69"/>
      <c r="H37" s="69"/>
      <c r="I37" s="69"/>
      <c r="J37" s="105">
        <f t="shared" si="6"/>
        <v>48</v>
      </c>
      <c r="K37" s="114">
        <f t="shared" si="7"/>
        <v>25.2</v>
      </c>
      <c r="L37" s="118">
        <f t="shared" si="8"/>
        <v>1209.5999999999999</v>
      </c>
      <c r="M37" s="111"/>
      <c r="N37" s="91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9"/>
    </row>
    <row r="38" spans="1:28" ht="16.5" customHeight="1" thickBot="1">
      <c r="A38" s="88"/>
      <c r="B38" s="89"/>
      <c r="C38" s="69"/>
      <c r="D38" s="69"/>
      <c r="E38" s="69"/>
      <c r="F38" s="69"/>
      <c r="G38" s="69"/>
      <c r="H38" s="69"/>
      <c r="I38" s="69"/>
      <c r="J38" s="105">
        <f t="shared" si="6"/>
        <v>0</v>
      </c>
      <c r="K38" s="114">
        <f t="shared" si="7"/>
        <v>0</v>
      </c>
      <c r="L38" s="118">
        <f t="shared" si="8"/>
        <v>0</v>
      </c>
      <c r="M38" s="111"/>
      <c r="N38" s="90" t="s">
        <v>145</v>
      </c>
      <c r="O38" s="130" t="s">
        <v>260</v>
      </c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2"/>
    </row>
    <row r="39" spans="1:28" ht="16.5" customHeight="1" thickBot="1">
      <c r="A39" s="92"/>
      <c r="B39" s="93"/>
      <c r="C39" s="69"/>
      <c r="D39" s="69"/>
      <c r="E39" s="69"/>
      <c r="F39" s="69"/>
      <c r="G39" s="69"/>
      <c r="H39" s="69"/>
      <c r="I39" s="69"/>
      <c r="J39" s="105">
        <f t="shared" si="6"/>
        <v>0</v>
      </c>
      <c r="K39" s="114">
        <f t="shared" si="7"/>
        <v>0</v>
      </c>
      <c r="L39" s="118">
        <f t="shared" si="8"/>
        <v>0</v>
      </c>
      <c r="M39" s="111"/>
      <c r="N39" s="9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2"/>
    </row>
    <row r="40" spans="1:28" ht="16.5" customHeight="1" thickBot="1">
      <c r="A40" s="88"/>
      <c r="B40" s="89"/>
      <c r="C40" s="69"/>
      <c r="D40" s="69"/>
      <c r="E40" s="69"/>
      <c r="F40" s="69"/>
      <c r="G40" s="69"/>
      <c r="H40" s="69"/>
      <c r="I40" s="69"/>
      <c r="J40" s="105">
        <f t="shared" si="6"/>
        <v>0</v>
      </c>
      <c r="K40" s="114">
        <f t="shared" si="7"/>
        <v>0</v>
      </c>
      <c r="L40" s="118">
        <f t="shared" si="8"/>
        <v>0</v>
      </c>
      <c r="M40" s="111"/>
      <c r="N40" s="90" t="s">
        <v>146</v>
      </c>
      <c r="O40" s="140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4"/>
    </row>
    <row r="41" spans="1:28" ht="16.5" customHeight="1" thickBot="1">
      <c r="A41" s="69"/>
      <c r="B41" s="94"/>
      <c r="C41" s="69"/>
      <c r="D41" s="69"/>
      <c r="E41" s="69"/>
      <c r="F41" s="69"/>
      <c r="G41" s="69"/>
      <c r="H41" s="69"/>
      <c r="I41" s="69"/>
      <c r="J41" s="105">
        <f t="shared" si="6"/>
        <v>0</v>
      </c>
      <c r="K41" s="114">
        <f t="shared" si="7"/>
        <v>0</v>
      </c>
      <c r="L41" s="118">
        <f t="shared" si="8"/>
        <v>0</v>
      </c>
      <c r="M41" s="111"/>
      <c r="N41" s="91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9"/>
    </row>
    <row r="42" spans="1:28" ht="16.5" customHeight="1" thickBot="1">
      <c r="A42" s="69"/>
      <c r="B42" s="94"/>
      <c r="C42" s="69"/>
      <c r="D42" s="69"/>
      <c r="E42" s="69"/>
      <c r="F42" s="69"/>
      <c r="G42" s="69"/>
      <c r="H42" s="69"/>
      <c r="I42" s="69"/>
      <c r="J42" s="105">
        <f t="shared" si="6"/>
        <v>0</v>
      </c>
      <c r="K42" s="114">
        <f t="shared" si="7"/>
        <v>0</v>
      </c>
      <c r="L42" s="118">
        <f t="shared" si="8"/>
        <v>0</v>
      </c>
      <c r="M42" s="111"/>
      <c r="N42" s="90" t="s">
        <v>147</v>
      </c>
      <c r="O42" s="130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2"/>
    </row>
    <row r="43" spans="1:28" ht="17.25" customHeight="1" thickBot="1">
      <c r="A43" s="95"/>
      <c r="B43" s="95"/>
      <c r="C43" s="77">
        <f t="shared" ref="C43:J43" si="9">SUM(C34:C42)</f>
        <v>0</v>
      </c>
      <c r="D43" s="77">
        <f t="shared" si="9"/>
        <v>64</v>
      </c>
      <c r="E43" s="77">
        <f t="shared" si="9"/>
        <v>64</v>
      </c>
      <c r="F43" s="77">
        <f t="shared" si="9"/>
        <v>16</v>
      </c>
      <c r="G43" s="77">
        <f t="shared" si="9"/>
        <v>0</v>
      </c>
      <c r="H43" s="77">
        <f t="shared" si="9"/>
        <v>0</v>
      </c>
      <c r="I43" s="77">
        <f t="shared" si="9"/>
        <v>0</v>
      </c>
      <c r="J43" s="77">
        <f t="shared" si="9"/>
        <v>144</v>
      </c>
      <c r="K43" s="115"/>
      <c r="L43" s="119">
        <f>SUM(L34:L42)</f>
        <v>5328</v>
      </c>
      <c r="M43" s="111">
        <f>IFERROR(J28*_xlfn.XLOOKUP(_xlfn.XLOOKUP(A28,EquipmentLookup[Equipment ID],EquipmentLookup[Equipment Name]),EquipmentRates[EquipmentRates],EquipmentRates[Rate (HR)]),0)</f>
        <v>0</v>
      </c>
      <c r="N43" s="9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2"/>
    </row>
    <row r="44" spans="1:28" ht="18" customHeight="1" thickTop="1" thickBot="1">
      <c r="N44" s="90" t="s">
        <v>148</v>
      </c>
      <c r="O44" s="140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4"/>
    </row>
    <row r="45" spans="1:28" ht="16.5" customHeight="1">
      <c r="A45" s="96" t="s">
        <v>166</v>
      </c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8"/>
      <c r="N45" s="91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9"/>
    </row>
    <row r="46" spans="1:28" ht="16.5" customHeight="1" thickBot="1">
      <c r="A46" s="135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2"/>
      <c r="N46" s="90" t="s">
        <v>149</v>
      </c>
      <c r="O46" s="122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4"/>
    </row>
    <row r="47" spans="1:28" ht="17.25" customHeight="1" thickBot="1">
      <c r="A47" s="136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6"/>
      <c r="N47" s="99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6"/>
    </row>
  </sheetData>
  <mergeCells count="25">
    <mergeCell ref="AC12:AC14"/>
    <mergeCell ref="K18:M18"/>
    <mergeCell ref="O34:AB35"/>
    <mergeCell ref="K16:M16"/>
    <mergeCell ref="K25:M25"/>
    <mergeCell ref="K15:M15"/>
    <mergeCell ref="K24:M24"/>
    <mergeCell ref="K20:M20"/>
    <mergeCell ref="K21:M21"/>
    <mergeCell ref="K26:M26"/>
    <mergeCell ref="Z12:AB12"/>
    <mergeCell ref="O46:AB47"/>
    <mergeCell ref="K23:M23"/>
    <mergeCell ref="O42:AB43"/>
    <mergeCell ref="N32:AB33"/>
    <mergeCell ref="K17:M17"/>
    <mergeCell ref="A46:M47"/>
    <mergeCell ref="K19:M19"/>
    <mergeCell ref="O38:AB39"/>
    <mergeCell ref="O36:AB37"/>
    <mergeCell ref="O44:AB45"/>
    <mergeCell ref="K22:M22"/>
    <mergeCell ref="L28:M28"/>
    <mergeCell ref="O40:AB41"/>
    <mergeCell ref="K27:M27"/>
  </mergeCells>
  <dataValidations count="3">
    <dataValidation type="list" allowBlank="1" showInputMessage="1" showErrorMessage="1" sqref="B16" xr:uid="{00000000-0002-0000-0200-000000000000}">
      <formula1>INDIRECT("Laborrates[Classification]")</formula1>
    </dataValidation>
    <dataValidation type="list" allowBlank="1" sqref="B16:B27" xr:uid="{00000000-0002-0000-0200-000001000000}">
      <formula1>LaborClassList</formula1>
    </dataValidation>
    <dataValidation type="list" allowBlank="1" sqref="A34:A42" xr:uid="{00000000-0002-0000-0200-000002000000}">
      <formula1>EquipmentList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tabSelected="1" topLeftCell="A8" workbookViewId="0">
      <selection activeCell="O40" sqref="O40:AB41"/>
    </sheetView>
  </sheetViews>
  <sheetFormatPr defaultRowHeight="15"/>
  <cols>
    <col min="1" max="1" width="17.140625" customWidth="1"/>
    <col min="2" max="2" width="15.5703125" customWidth="1"/>
    <col min="3" max="3" width="5.140625" customWidth="1"/>
    <col min="5" max="5" width="5.85546875" customWidth="1"/>
    <col min="6" max="6" width="5.42578125" customWidth="1"/>
    <col min="7" max="7" width="5" customWidth="1"/>
    <col min="8" max="8" width="5.42578125" customWidth="1"/>
    <col min="9" max="9" width="5.140625" customWidth="1"/>
    <col min="10" max="11" width="5.85546875" customWidth="1"/>
    <col min="12" max="12" width="9" customWidth="1"/>
    <col min="13" max="13" width="2.28515625" hidden="1" customWidth="1"/>
    <col min="14" max="14" width="5.7109375" customWidth="1"/>
    <col min="15" max="15" width="5.42578125" customWidth="1"/>
    <col min="16" max="16" width="5" customWidth="1"/>
    <col min="17" max="17" width="5.140625" customWidth="1"/>
    <col min="18" max="18" width="5.28515625" customWidth="1"/>
    <col min="19" max="19" width="5.5703125" customWidth="1"/>
    <col min="20" max="20" width="5.42578125" customWidth="1"/>
    <col min="21" max="21" width="5.7109375" customWidth="1"/>
    <col min="22" max="22" width="5.5703125" customWidth="1"/>
    <col min="23" max="23" width="5.7109375" customWidth="1"/>
    <col min="24" max="24" width="5.42578125" customWidth="1"/>
    <col min="25" max="25" width="5.140625" customWidth="1"/>
    <col min="26" max="26" width="6" customWidth="1"/>
    <col min="28" max="28" width="5.42578125" customWidth="1"/>
    <col min="29" max="29" width="15.5703125" customWidth="1"/>
  </cols>
  <sheetData>
    <row r="1" spans="1:29" ht="25.5" customHeight="1">
      <c r="B1" s="5" t="s">
        <v>87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9" ht="15.75" customHeight="1" thickBot="1">
      <c r="Y2" s="7" t="s">
        <v>88</v>
      </c>
      <c r="Z2" s="8"/>
      <c r="AA2" s="9" t="s">
        <v>89</v>
      </c>
      <c r="AB2" s="8"/>
    </row>
    <row r="3" spans="1:29" ht="15.75" customHeight="1" thickBot="1">
      <c r="C3" s="10"/>
      <c r="D3" s="11" t="s">
        <v>90</v>
      </c>
      <c r="E3" s="11"/>
      <c r="F3" s="11"/>
      <c r="G3" s="12"/>
      <c r="I3" s="10"/>
      <c r="J3" s="11" t="s">
        <v>91</v>
      </c>
      <c r="K3" s="11"/>
      <c r="L3" s="11"/>
      <c r="M3" s="11"/>
      <c r="N3" s="11"/>
      <c r="O3" s="11"/>
      <c r="P3" s="12"/>
      <c r="R3" s="13"/>
      <c r="S3" s="14" t="s">
        <v>92</v>
      </c>
      <c r="T3" s="15"/>
      <c r="U3" s="15"/>
      <c r="V3" s="16"/>
    </row>
    <row r="4" spans="1:29" ht="15.75" customHeight="1" thickBot="1">
      <c r="C4" s="10"/>
      <c r="D4" s="17" t="s">
        <v>93</v>
      </c>
      <c r="E4" s="17"/>
      <c r="F4" s="17"/>
      <c r="G4" s="18"/>
      <c r="I4" s="10"/>
      <c r="J4" s="17" t="s">
        <v>94</v>
      </c>
      <c r="K4" s="17"/>
      <c r="L4" s="17"/>
      <c r="M4" s="17"/>
      <c r="N4" s="17"/>
      <c r="O4" s="17"/>
      <c r="P4" s="18"/>
      <c r="R4" s="19"/>
      <c r="S4" s="20" t="s">
        <v>95</v>
      </c>
      <c r="T4" s="17"/>
      <c r="U4" s="17"/>
      <c r="V4" s="18"/>
      <c r="X4" s="13"/>
      <c r="Y4" s="20" t="s">
        <v>96</v>
      </c>
      <c r="Z4" s="17"/>
      <c r="AA4" s="18"/>
      <c r="AB4" s="18"/>
    </row>
    <row r="5" spans="1:29">
      <c r="E5" s="21"/>
    </row>
    <row r="6" spans="1:29" ht="17.25" customHeight="1">
      <c r="A6" s="22" t="s">
        <v>97</v>
      </c>
      <c r="B6" s="23" t="s">
        <v>98</v>
      </c>
      <c r="C6" s="23"/>
      <c r="D6" s="23"/>
      <c r="E6" s="24"/>
      <c r="F6" s="25"/>
      <c r="G6" s="26"/>
      <c r="H6" s="27"/>
      <c r="I6" s="27"/>
      <c r="J6" s="26" t="s">
        <v>99</v>
      </c>
      <c r="K6" s="26"/>
      <c r="L6" s="26"/>
      <c r="M6" s="28">
        <v>46047</v>
      </c>
      <c r="N6" s="22" t="s">
        <v>100</v>
      </c>
      <c r="O6" s="23"/>
      <c r="P6" s="29"/>
      <c r="Q6" s="23"/>
      <c r="R6" s="23"/>
      <c r="S6" s="23"/>
      <c r="T6" s="23"/>
      <c r="U6" s="23"/>
      <c r="V6" s="25"/>
      <c r="W6" s="30"/>
      <c r="X6" s="31"/>
      <c r="Y6" s="22" t="s">
        <v>101</v>
      </c>
      <c r="Z6" s="32"/>
      <c r="AA6" s="33"/>
      <c r="AB6" s="34"/>
    </row>
    <row r="7" spans="1:29" ht="17.25" customHeight="1">
      <c r="A7" s="35" t="s">
        <v>102</v>
      </c>
      <c r="B7" s="23" t="s">
        <v>46</v>
      </c>
      <c r="C7" s="23"/>
      <c r="D7" s="23"/>
      <c r="E7" s="24"/>
      <c r="F7" s="36"/>
      <c r="G7" s="37"/>
      <c r="H7" s="38"/>
      <c r="I7" s="38"/>
      <c r="J7" s="38" t="s">
        <v>103</v>
      </c>
      <c r="K7" s="38"/>
      <c r="L7" s="38"/>
      <c r="M7" s="39">
        <v>46048</v>
      </c>
      <c r="N7" s="35" t="s">
        <v>104</v>
      </c>
      <c r="O7" s="23"/>
      <c r="P7" s="40"/>
      <c r="Q7" s="40"/>
      <c r="R7" s="40"/>
      <c r="S7" s="40"/>
      <c r="T7" s="40"/>
      <c r="U7" s="40"/>
      <c r="V7" s="36"/>
      <c r="W7" s="41"/>
      <c r="X7" s="42"/>
      <c r="Y7" s="35" t="s">
        <v>105</v>
      </c>
      <c r="Z7" s="23"/>
      <c r="AA7" s="33"/>
      <c r="AB7" s="34"/>
    </row>
    <row r="8" spans="1:29" ht="17.25" customHeight="1">
      <c r="A8" s="35" t="s">
        <v>106</v>
      </c>
      <c r="B8" s="23"/>
      <c r="C8" s="23"/>
      <c r="D8" s="23"/>
      <c r="E8" s="24"/>
      <c r="F8" s="36"/>
      <c r="G8" s="37"/>
      <c r="H8" s="38"/>
      <c r="I8" s="38"/>
      <c r="J8" s="38"/>
      <c r="K8" s="38"/>
      <c r="L8" s="38"/>
      <c r="M8" s="38"/>
      <c r="N8" s="35" t="s">
        <v>107</v>
      </c>
      <c r="O8" s="23"/>
      <c r="P8" s="23"/>
      <c r="Q8" s="23"/>
      <c r="R8" s="23"/>
      <c r="S8" s="23"/>
      <c r="T8" s="23"/>
      <c r="U8" s="23"/>
      <c r="V8" s="36"/>
      <c r="W8" s="41"/>
      <c r="X8" s="42"/>
      <c r="Y8" s="35" t="s">
        <v>108</v>
      </c>
      <c r="Z8" s="23"/>
      <c r="AA8" s="33"/>
      <c r="AB8" s="34"/>
    </row>
    <row r="9" spans="1:29" ht="17.25" customHeight="1">
      <c r="A9" s="43" t="s">
        <v>109</v>
      </c>
      <c r="B9" s="44" t="s">
        <v>110</v>
      </c>
      <c r="C9" s="45"/>
      <c r="D9" s="45"/>
      <c r="E9" s="45"/>
      <c r="F9" s="46"/>
      <c r="G9" s="47"/>
      <c r="H9" s="48"/>
      <c r="I9" s="48"/>
      <c r="J9" s="48"/>
      <c r="K9" s="48"/>
      <c r="L9" s="48"/>
      <c r="M9" s="48"/>
      <c r="N9" s="43" t="s">
        <v>111</v>
      </c>
      <c r="O9" s="40"/>
      <c r="P9" s="40"/>
      <c r="Q9" s="40"/>
      <c r="R9" s="40"/>
      <c r="S9" s="40"/>
      <c r="T9" s="40"/>
      <c r="U9" s="40"/>
      <c r="V9" s="46"/>
      <c r="W9" s="49"/>
      <c r="X9" s="45" t="s">
        <v>112</v>
      </c>
      <c r="Y9" s="45"/>
      <c r="Z9" s="45"/>
      <c r="AA9" s="45"/>
      <c r="AB9" s="50"/>
    </row>
    <row r="10" spans="1:29" ht="12.6" customHeight="1" thickBot="1">
      <c r="A10" s="51" t="s">
        <v>113</v>
      </c>
      <c r="B10" s="51"/>
    </row>
    <row r="11" spans="1:29" ht="17.25" customHeight="1" thickBot="1">
      <c r="A11" s="51"/>
      <c r="B11" s="51"/>
      <c r="C11" s="52" t="s">
        <v>114</v>
      </c>
      <c r="D11" s="53"/>
      <c r="E11" s="54"/>
      <c r="F11" s="52" t="s">
        <v>115</v>
      </c>
      <c r="G11" s="53"/>
      <c r="H11" s="54"/>
      <c r="I11" s="52" t="s">
        <v>116</v>
      </c>
      <c r="J11" s="53"/>
      <c r="K11" s="53"/>
      <c r="L11" s="53"/>
      <c r="M11" s="54"/>
      <c r="N11" s="52" t="s">
        <v>117</v>
      </c>
      <c r="O11" s="53"/>
      <c r="P11" s="54"/>
      <c r="Q11" s="52" t="s">
        <v>118</v>
      </c>
      <c r="R11" s="53"/>
      <c r="S11" s="54"/>
      <c r="T11" s="52" t="s">
        <v>119</v>
      </c>
      <c r="U11" s="53"/>
      <c r="V11" s="54"/>
      <c r="W11" s="52" t="s">
        <v>120</v>
      </c>
      <c r="X11" s="53"/>
      <c r="Y11" s="54"/>
    </row>
    <row r="12" spans="1:29" ht="16.5" customHeight="1" thickBot="1">
      <c r="C12" s="55" t="s">
        <v>121</v>
      </c>
      <c r="D12" s="56" t="s">
        <v>122</v>
      </c>
      <c r="E12" s="57"/>
      <c r="F12" s="55" t="s">
        <v>121</v>
      </c>
      <c r="G12" s="56" t="s">
        <v>123</v>
      </c>
      <c r="H12" s="57"/>
      <c r="I12" s="55" t="s">
        <v>121</v>
      </c>
      <c r="J12" s="56" t="s">
        <v>124</v>
      </c>
      <c r="K12" s="56"/>
      <c r="L12" s="56"/>
      <c r="M12" s="57"/>
      <c r="N12" s="55" t="s">
        <v>121</v>
      </c>
      <c r="O12" s="56" t="s">
        <v>125</v>
      </c>
      <c r="P12" s="57"/>
      <c r="Q12" s="55" t="s">
        <v>121</v>
      </c>
      <c r="R12" s="56" t="s">
        <v>126</v>
      </c>
      <c r="S12" s="57"/>
      <c r="T12" s="55" t="s">
        <v>121</v>
      </c>
      <c r="U12" s="56" t="s">
        <v>127</v>
      </c>
      <c r="V12" s="57"/>
      <c r="W12" s="55" t="s">
        <v>121</v>
      </c>
      <c r="X12" s="56" t="s">
        <v>128</v>
      </c>
      <c r="Y12" s="58"/>
      <c r="Z12" s="149" t="s">
        <v>129</v>
      </c>
      <c r="AA12" s="150"/>
      <c r="AB12" s="151"/>
      <c r="AC12" s="143" t="s">
        <v>130</v>
      </c>
    </row>
    <row r="13" spans="1:29" ht="16.5" customHeight="1">
      <c r="C13" s="59" t="s">
        <v>131</v>
      </c>
      <c r="D13" s="56"/>
      <c r="E13" s="57"/>
      <c r="F13" s="59" t="s">
        <v>131</v>
      </c>
      <c r="G13" s="56"/>
      <c r="H13" s="57"/>
      <c r="I13" s="59" t="s">
        <v>131</v>
      </c>
      <c r="J13" s="56"/>
      <c r="K13" s="56"/>
      <c r="L13" s="56"/>
      <c r="M13" s="57"/>
      <c r="N13" s="59" t="s">
        <v>131</v>
      </c>
      <c r="O13" s="56"/>
      <c r="P13" s="57"/>
      <c r="Q13" s="59" t="s">
        <v>131</v>
      </c>
      <c r="R13" s="56"/>
      <c r="S13" s="57"/>
      <c r="T13" s="59" t="s">
        <v>131</v>
      </c>
      <c r="U13" s="56"/>
      <c r="V13" s="57"/>
      <c r="W13" s="59" t="s">
        <v>131</v>
      </c>
      <c r="X13" s="56"/>
      <c r="Y13" s="58"/>
      <c r="Z13" s="60"/>
      <c r="AA13" s="61"/>
      <c r="AB13" s="62"/>
      <c r="AC13" s="144"/>
    </row>
    <row r="14" spans="1:29" ht="17.25" customHeight="1" thickBot="1">
      <c r="C14" s="59" t="s">
        <v>132</v>
      </c>
      <c r="D14" s="56"/>
      <c r="E14" s="57"/>
      <c r="F14" s="59" t="s">
        <v>132</v>
      </c>
      <c r="G14" s="56"/>
      <c r="H14" s="57"/>
      <c r="I14" s="59" t="s">
        <v>132</v>
      </c>
      <c r="J14" s="56"/>
      <c r="K14" s="56"/>
      <c r="L14" s="56"/>
      <c r="M14" s="57"/>
      <c r="N14" s="59" t="s">
        <v>132</v>
      </c>
      <c r="O14" s="56"/>
      <c r="P14" s="57"/>
      <c r="Q14" s="59" t="s">
        <v>132</v>
      </c>
      <c r="R14" s="56"/>
      <c r="S14" s="57"/>
      <c r="T14" s="59" t="s">
        <v>132</v>
      </c>
      <c r="U14" s="56"/>
      <c r="V14" s="57"/>
      <c r="W14" s="59" t="s">
        <v>132</v>
      </c>
      <c r="X14" s="56"/>
      <c r="Y14" s="58"/>
      <c r="Z14" s="60"/>
      <c r="AA14" s="61"/>
      <c r="AB14" s="63"/>
      <c r="AC14" s="145"/>
    </row>
    <row r="15" spans="1:29" ht="16.5" customHeight="1" thickBot="1">
      <c r="A15" s="64" t="s">
        <v>133</v>
      </c>
      <c r="B15" s="64" t="s">
        <v>134</v>
      </c>
      <c r="C15" s="65" t="s">
        <v>135</v>
      </c>
      <c r="D15" s="66" t="s">
        <v>136</v>
      </c>
      <c r="E15" s="67" t="s">
        <v>137</v>
      </c>
      <c r="F15" s="65" t="s">
        <v>135</v>
      </c>
      <c r="G15" s="66" t="s">
        <v>136</v>
      </c>
      <c r="H15" s="67" t="s">
        <v>137</v>
      </c>
      <c r="I15" s="65" t="s">
        <v>135</v>
      </c>
      <c r="J15" s="66" t="s">
        <v>136</v>
      </c>
      <c r="K15" s="148" t="s">
        <v>137</v>
      </c>
      <c r="L15" s="128"/>
      <c r="M15" s="129"/>
      <c r="N15" s="65" t="s">
        <v>135</v>
      </c>
      <c r="O15" s="66" t="s">
        <v>136</v>
      </c>
      <c r="P15" s="67" t="s">
        <v>137</v>
      </c>
      <c r="Q15" s="65" t="s">
        <v>135</v>
      </c>
      <c r="R15" s="66" t="s">
        <v>136</v>
      </c>
      <c r="S15" s="67" t="s">
        <v>137</v>
      </c>
      <c r="T15" s="65" t="s">
        <v>135</v>
      </c>
      <c r="U15" s="66" t="s">
        <v>136</v>
      </c>
      <c r="V15" s="67" t="s">
        <v>137</v>
      </c>
      <c r="W15" s="65" t="s">
        <v>135</v>
      </c>
      <c r="X15" s="66" t="s">
        <v>136</v>
      </c>
      <c r="Y15" s="68" t="s">
        <v>137</v>
      </c>
      <c r="Z15" s="65" t="s">
        <v>135</v>
      </c>
      <c r="AA15" s="66" t="s">
        <v>136</v>
      </c>
      <c r="AB15" s="101" t="s">
        <v>137</v>
      </c>
      <c r="AC15" s="107" t="s">
        <v>130</v>
      </c>
    </row>
    <row r="16" spans="1:29" ht="12.75" customHeight="1" thickBot="1">
      <c r="A16" s="69" t="s">
        <v>255</v>
      </c>
      <c r="B16" s="69" t="s">
        <v>19</v>
      </c>
      <c r="C16" s="70"/>
      <c r="D16" s="69"/>
      <c r="E16" s="71"/>
      <c r="F16" s="70"/>
      <c r="G16" s="69">
        <v>0</v>
      </c>
      <c r="H16" s="71"/>
      <c r="I16" s="70"/>
      <c r="J16" s="69">
        <v>16</v>
      </c>
      <c r="K16" s="127"/>
      <c r="L16" s="128"/>
      <c r="M16" s="129"/>
      <c r="N16" s="70"/>
      <c r="O16" s="69">
        <v>16</v>
      </c>
      <c r="P16" s="71"/>
      <c r="Q16" s="70"/>
      <c r="R16" s="69"/>
      <c r="S16" s="71"/>
      <c r="T16" s="70"/>
      <c r="U16" s="69"/>
      <c r="V16" s="71"/>
      <c r="W16" s="70"/>
      <c r="X16" s="69"/>
      <c r="Y16" s="72"/>
      <c r="Z16" s="70">
        <f t="shared" ref="Z16:Z27" si="0">SUM(C16,F16,I16,N16,Q16,T16,W16)</f>
        <v>0</v>
      </c>
      <c r="AA16" s="70">
        <f t="shared" ref="AA16:AA27" si="1">SUM(D16,G16,J16,O16,R16,U16,X16)</f>
        <v>32</v>
      </c>
      <c r="AB16" s="102">
        <f t="shared" ref="AB16:AB27" si="2">SUM(E16,H16,M16,P16,S16,V16,Y16)</f>
        <v>0</v>
      </c>
      <c r="AC16" s="120">
        <f t="shared" ref="AC16:AC27" si="3">IFERROR(Z16*VLOOKUP(B16,LaborRateTable,2,FALSE)+AA16*VLOOKUP(B16,LaborRateTable,3,FALSE)+AB16*VLOOKUP(B16,LaborRateTable,4,FALSE),0)</f>
        <v>3571.2</v>
      </c>
    </row>
    <row r="17" spans="1:29" ht="12.75" customHeight="1" thickBot="1">
      <c r="A17" s="69" t="s">
        <v>256</v>
      </c>
      <c r="B17" s="69" t="s">
        <v>139</v>
      </c>
      <c r="C17" s="70"/>
      <c r="D17" s="69"/>
      <c r="E17" s="71"/>
      <c r="F17" s="70"/>
      <c r="G17" s="69">
        <v>0</v>
      </c>
      <c r="H17" s="71"/>
      <c r="I17" s="70"/>
      <c r="J17" s="69">
        <v>16</v>
      </c>
      <c r="K17" s="127"/>
      <c r="L17" s="128"/>
      <c r="M17" s="129"/>
      <c r="N17" s="70"/>
      <c r="O17" s="69">
        <v>16</v>
      </c>
      <c r="P17" s="71"/>
      <c r="Q17" s="70"/>
      <c r="R17" s="69"/>
      <c r="S17" s="71"/>
      <c r="T17" s="70"/>
      <c r="U17" s="69"/>
      <c r="V17" s="71"/>
      <c r="W17" s="70"/>
      <c r="X17" s="69"/>
      <c r="Y17" s="72"/>
      <c r="Z17" s="70">
        <f t="shared" si="0"/>
        <v>0</v>
      </c>
      <c r="AA17" s="70">
        <f t="shared" si="1"/>
        <v>32</v>
      </c>
      <c r="AB17" s="102">
        <f t="shared" si="2"/>
        <v>0</v>
      </c>
      <c r="AC17" s="120">
        <f t="shared" si="3"/>
        <v>2860.8</v>
      </c>
    </row>
    <row r="18" spans="1:29" ht="12.75" customHeight="1" thickBot="1">
      <c r="A18" s="69" t="s">
        <v>65</v>
      </c>
      <c r="B18" s="69" t="s">
        <v>26</v>
      </c>
      <c r="C18" s="70"/>
      <c r="D18" s="69"/>
      <c r="E18" s="71"/>
      <c r="F18" s="70"/>
      <c r="G18" s="69">
        <v>0</v>
      </c>
      <c r="H18" s="71"/>
      <c r="I18" s="70"/>
      <c r="J18" s="69">
        <v>16</v>
      </c>
      <c r="K18" s="127"/>
      <c r="L18" s="128"/>
      <c r="M18" s="129"/>
      <c r="N18" s="70"/>
      <c r="O18" s="69">
        <v>16</v>
      </c>
      <c r="P18" s="71"/>
      <c r="Q18" s="70"/>
      <c r="R18" s="69"/>
      <c r="S18" s="71"/>
      <c r="T18" s="70"/>
      <c r="U18" s="69"/>
      <c r="V18" s="71"/>
      <c r="W18" s="70"/>
      <c r="X18" s="69"/>
      <c r="Y18" s="72"/>
      <c r="Z18" s="70">
        <f t="shared" si="0"/>
        <v>0</v>
      </c>
      <c r="AA18" s="70">
        <f t="shared" si="1"/>
        <v>32</v>
      </c>
      <c r="AB18" s="102">
        <f t="shared" si="2"/>
        <v>0</v>
      </c>
      <c r="AC18" s="120">
        <f t="shared" si="3"/>
        <v>2688</v>
      </c>
    </row>
    <row r="19" spans="1:29" ht="12.75" customHeight="1" thickBot="1">
      <c r="A19" s="69" t="s">
        <v>42</v>
      </c>
      <c r="B19" s="103" t="s">
        <v>138</v>
      </c>
      <c r="C19" s="70"/>
      <c r="D19" s="69"/>
      <c r="E19" s="71"/>
      <c r="F19" s="70"/>
      <c r="G19" s="69">
        <v>0</v>
      </c>
      <c r="H19" s="71"/>
      <c r="I19" s="70"/>
      <c r="J19" s="69">
        <v>16</v>
      </c>
      <c r="K19" s="127"/>
      <c r="L19" s="128"/>
      <c r="M19" s="129"/>
      <c r="N19" s="70"/>
      <c r="O19" s="69">
        <v>0</v>
      </c>
      <c r="P19" s="71"/>
      <c r="Q19" s="70"/>
      <c r="R19" s="69"/>
      <c r="S19" s="71"/>
      <c r="T19" s="70"/>
      <c r="U19" s="69"/>
      <c r="V19" s="71"/>
      <c r="W19" s="70"/>
      <c r="X19" s="69"/>
      <c r="Y19" s="72"/>
      <c r="Z19" s="70">
        <f t="shared" si="0"/>
        <v>0</v>
      </c>
      <c r="AA19" s="70">
        <f t="shared" si="1"/>
        <v>16</v>
      </c>
      <c r="AB19" s="102">
        <f t="shared" si="2"/>
        <v>0</v>
      </c>
      <c r="AC19" s="120">
        <f t="shared" si="3"/>
        <v>1536</v>
      </c>
    </row>
    <row r="20" spans="1:29" ht="12.75" customHeight="1" thickBot="1">
      <c r="A20" s="69" t="s">
        <v>257</v>
      </c>
      <c r="B20" s="69" t="s">
        <v>139</v>
      </c>
      <c r="C20" s="70"/>
      <c r="D20" s="69"/>
      <c r="E20" s="71"/>
      <c r="F20" s="70"/>
      <c r="G20" s="69">
        <v>0</v>
      </c>
      <c r="H20" s="71"/>
      <c r="I20" s="70"/>
      <c r="J20" s="69">
        <v>16</v>
      </c>
      <c r="K20" s="127"/>
      <c r="L20" s="128"/>
      <c r="M20" s="129"/>
      <c r="N20" s="70"/>
      <c r="O20" s="69">
        <v>0</v>
      </c>
      <c r="P20" s="71"/>
      <c r="Q20" s="70"/>
      <c r="R20" s="69"/>
      <c r="S20" s="71"/>
      <c r="T20" s="70"/>
      <c r="U20" s="69"/>
      <c r="V20" s="71"/>
      <c r="W20" s="70"/>
      <c r="X20" s="69"/>
      <c r="Y20" s="72"/>
      <c r="Z20" s="70">
        <f t="shared" si="0"/>
        <v>0</v>
      </c>
      <c r="AA20" s="70">
        <f t="shared" si="1"/>
        <v>16</v>
      </c>
      <c r="AB20" s="102">
        <f t="shared" si="2"/>
        <v>0</v>
      </c>
      <c r="AC20" s="120">
        <f t="shared" si="3"/>
        <v>1430.4</v>
      </c>
    </row>
    <row r="21" spans="1:29" ht="12.75" customHeight="1" thickBot="1">
      <c r="A21" s="69" t="s">
        <v>258</v>
      </c>
      <c r="B21" s="69" t="s">
        <v>26</v>
      </c>
      <c r="C21" s="70"/>
      <c r="D21" s="69"/>
      <c r="E21" s="71"/>
      <c r="F21" s="70"/>
      <c r="G21" s="69">
        <v>0</v>
      </c>
      <c r="H21" s="71"/>
      <c r="I21" s="70"/>
      <c r="J21" s="69">
        <v>16</v>
      </c>
      <c r="K21" s="127"/>
      <c r="L21" s="128"/>
      <c r="M21" s="129"/>
      <c r="N21" s="70"/>
      <c r="O21" s="69">
        <v>0</v>
      </c>
      <c r="P21" s="71"/>
      <c r="Q21" s="70"/>
      <c r="R21" s="69"/>
      <c r="S21" s="71"/>
      <c r="T21" s="70"/>
      <c r="U21" s="69"/>
      <c r="V21" s="71"/>
      <c r="W21" s="70"/>
      <c r="X21" s="69"/>
      <c r="Y21" s="72"/>
      <c r="Z21" s="70">
        <f t="shared" si="0"/>
        <v>0</v>
      </c>
      <c r="AA21" s="70">
        <f t="shared" si="1"/>
        <v>16</v>
      </c>
      <c r="AB21" s="102">
        <f t="shared" si="2"/>
        <v>0</v>
      </c>
      <c r="AC21" s="120">
        <f t="shared" si="3"/>
        <v>1344</v>
      </c>
    </row>
    <row r="22" spans="1:29" ht="12.75" customHeight="1" thickBot="1">
      <c r="A22" s="69"/>
      <c r="B22" s="100"/>
      <c r="C22" s="70"/>
      <c r="D22" s="69"/>
      <c r="E22" s="71"/>
      <c r="F22" s="70"/>
      <c r="G22" s="69"/>
      <c r="H22" s="71"/>
      <c r="I22" s="70"/>
      <c r="J22" s="69"/>
      <c r="K22" s="127"/>
      <c r="L22" s="128"/>
      <c r="M22" s="129"/>
      <c r="N22" s="70"/>
      <c r="O22" s="69"/>
      <c r="P22" s="71"/>
      <c r="Q22" s="70"/>
      <c r="R22" s="69"/>
      <c r="S22" s="71"/>
      <c r="T22" s="70"/>
      <c r="U22" s="69"/>
      <c r="V22" s="71"/>
      <c r="W22" s="70"/>
      <c r="X22" s="69"/>
      <c r="Y22" s="72"/>
      <c r="Z22" s="70">
        <f t="shared" si="0"/>
        <v>0</v>
      </c>
      <c r="AA22" s="70">
        <f t="shared" si="1"/>
        <v>0</v>
      </c>
      <c r="AB22" s="102">
        <f t="shared" si="2"/>
        <v>0</v>
      </c>
      <c r="AC22" s="120">
        <f t="shared" si="3"/>
        <v>0</v>
      </c>
    </row>
    <row r="23" spans="1:29" ht="12.75" customHeight="1" thickBot="1">
      <c r="A23" s="69"/>
      <c r="B23" s="69"/>
      <c r="C23" s="70"/>
      <c r="D23" s="69"/>
      <c r="E23" s="71"/>
      <c r="F23" s="70"/>
      <c r="G23" s="69"/>
      <c r="H23" s="71"/>
      <c r="I23" s="70"/>
      <c r="J23" s="69"/>
      <c r="K23" s="127"/>
      <c r="L23" s="128"/>
      <c r="M23" s="129"/>
      <c r="N23" s="70"/>
      <c r="O23" s="69"/>
      <c r="P23" s="71"/>
      <c r="Q23" s="70"/>
      <c r="R23" s="69"/>
      <c r="S23" s="71"/>
      <c r="T23" s="70"/>
      <c r="U23" s="69"/>
      <c r="V23" s="71"/>
      <c r="W23" s="70"/>
      <c r="X23" s="69"/>
      <c r="Y23" s="72"/>
      <c r="Z23" s="70">
        <f t="shared" si="0"/>
        <v>0</v>
      </c>
      <c r="AA23" s="70">
        <f t="shared" si="1"/>
        <v>0</v>
      </c>
      <c r="AB23" s="102">
        <f t="shared" si="2"/>
        <v>0</v>
      </c>
      <c r="AC23" s="120">
        <f t="shared" si="3"/>
        <v>0</v>
      </c>
    </row>
    <row r="24" spans="1:29" ht="12.75" customHeight="1" thickBot="1">
      <c r="A24" s="69"/>
      <c r="B24" s="69"/>
      <c r="C24" s="70"/>
      <c r="D24" s="69"/>
      <c r="E24" s="71"/>
      <c r="F24" s="70"/>
      <c r="G24" s="69"/>
      <c r="H24" s="71"/>
      <c r="I24" s="70"/>
      <c r="J24" s="69"/>
      <c r="K24" s="127"/>
      <c r="L24" s="128"/>
      <c r="M24" s="129"/>
      <c r="N24" s="70"/>
      <c r="O24" s="69"/>
      <c r="P24" s="71"/>
      <c r="Q24" s="70"/>
      <c r="R24" s="69"/>
      <c r="S24" s="71"/>
      <c r="T24" s="70"/>
      <c r="U24" s="69"/>
      <c r="V24" s="71"/>
      <c r="W24" s="70"/>
      <c r="X24" s="69"/>
      <c r="Y24" s="72"/>
      <c r="Z24" s="70">
        <f t="shared" si="0"/>
        <v>0</v>
      </c>
      <c r="AA24" s="70">
        <f t="shared" si="1"/>
        <v>0</v>
      </c>
      <c r="AB24" s="102">
        <f t="shared" si="2"/>
        <v>0</v>
      </c>
      <c r="AC24" s="120">
        <f t="shared" si="3"/>
        <v>0</v>
      </c>
    </row>
    <row r="25" spans="1:29" ht="12.75" customHeight="1" thickBot="1">
      <c r="A25" s="69"/>
      <c r="B25" s="69"/>
      <c r="C25" s="70"/>
      <c r="D25" s="69"/>
      <c r="E25" s="71"/>
      <c r="F25" s="70"/>
      <c r="G25" s="69"/>
      <c r="H25" s="71"/>
      <c r="I25" s="70"/>
      <c r="J25" s="69"/>
      <c r="K25" s="127"/>
      <c r="L25" s="128"/>
      <c r="M25" s="129"/>
      <c r="N25" s="70"/>
      <c r="O25" s="69"/>
      <c r="P25" s="71"/>
      <c r="Q25" s="70"/>
      <c r="R25" s="69"/>
      <c r="S25" s="71"/>
      <c r="T25" s="70"/>
      <c r="U25" s="69"/>
      <c r="V25" s="71"/>
      <c r="W25" s="70"/>
      <c r="X25" s="69"/>
      <c r="Y25" s="72"/>
      <c r="Z25" s="70">
        <f t="shared" si="0"/>
        <v>0</v>
      </c>
      <c r="AA25" s="70">
        <f t="shared" si="1"/>
        <v>0</v>
      </c>
      <c r="AB25" s="102">
        <f t="shared" si="2"/>
        <v>0</v>
      </c>
      <c r="AC25" s="120">
        <f t="shared" si="3"/>
        <v>0</v>
      </c>
    </row>
    <row r="26" spans="1:29" ht="12.75" customHeight="1" thickBot="1">
      <c r="A26" s="69"/>
      <c r="B26" s="69"/>
      <c r="C26" s="70"/>
      <c r="D26" s="69"/>
      <c r="E26" s="71"/>
      <c r="F26" s="70"/>
      <c r="G26" s="69"/>
      <c r="H26" s="71"/>
      <c r="I26" s="70"/>
      <c r="J26" s="69"/>
      <c r="K26" s="127"/>
      <c r="L26" s="128"/>
      <c r="M26" s="129"/>
      <c r="N26" s="70"/>
      <c r="O26" s="69"/>
      <c r="P26" s="71"/>
      <c r="Q26" s="70"/>
      <c r="R26" s="69"/>
      <c r="S26" s="71"/>
      <c r="T26" s="70"/>
      <c r="U26" s="69"/>
      <c r="V26" s="71"/>
      <c r="W26" s="70"/>
      <c r="X26" s="69"/>
      <c r="Y26" s="72"/>
      <c r="Z26" s="70">
        <f t="shared" si="0"/>
        <v>0</v>
      </c>
      <c r="AA26" s="70">
        <f t="shared" si="1"/>
        <v>0</v>
      </c>
      <c r="AB26" s="102">
        <f t="shared" si="2"/>
        <v>0</v>
      </c>
      <c r="AC26" s="120">
        <f t="shared" si="3"/>
        <v>0</v>
      </c>
    </row>
    <row r="27" spans="1:29" ht="12.75" customHeight="1" thickBot="1">
      <c r="A27" s="69"/>
      <c r="B27" s="69"/>
      <c r="C27" s="73"/>
      <c r="D27" s="74"/>
      <c r="E27" s="75"/>
      <c r="F27" s="73"/>
      <c r="G27" s="74"/>
      <c r="H27" s="75"/>
      <c r="I27" s="73"/>
      <c r="J27" s="74"/>
      <c r="K27" s="127"/>
      <c r="L27" s="128"/>
      <c r="M27" s="129"/>
      <c r="N27" s="73"/>
      <c r="O27" s="74"/>
      <c r="P27" s="75"/>
      <c r="Q27" s="73"/>
      <c r="R27" s="74"/>
      <c r="S27" s="75"/>
      <c r="T27" s="73"/>
      <c r="U27" s="74"/>
      <c r="V27" s="75"/>
      <c r="W27" s="73"/>
      <c r="X27" s="74"/>
      <c r="Y27" s="76"/>
      <c r="Z27" s="70">
        <f t="shared" si="0"/>
        <v>0</v>
      </c>
      <c r="AA27" s="70">
        <f t="shared" si="1"/>
        <v>0</v>
      </c>
      <c r="AB27" s="102">
        <f t="shared" si="2"/>
        <v>0</v>
      </c>
      <c r="AC27" s="120">
        <f t="shared" si="3"/>
        <v>0</v>
      </c>
    </row>
    <row r="28" spans="1:29" ht="14.1" customHeight="1" thickBot="1">
      <c r="C28" s="77">
        <f t="shared" ref="C28:J28" si="4">SUM(C16:C27)</f>
        <v>0</v>
      </c>
      <c r="D28" s="77">
        <f t="shared" si="4"/>
        <v>0</v>
      </c>
      <c r="E28" s="77">
        <f t="shared" si="4"/>
        <v>0</v>
      </c>
      <c r="F28" s="77">
        <f t="shared" si="4"/>
        <v>0</v>
      </c>
      <c r="G28" s="77">
        <f t="shared" si="4"/>
        <v>0</v>
      </c>
      <c r="H28" s="77">
        <f t="shared" si="4"/>
        <v>0</v>
      </c>
      <c r="I28" s="77">
        <f t="shared" si="4"/>
        <v>0</v>
      </c>
      <c r="J28" s="77">
        <f t="shared" si="4"/>
        <v>96</v>
      </c>
      <c r="K28" s="77"/>
      <c r="L28" s="141">
        <f>SUM(M16:M27)</f>
        <v>0</v>
      </c>
      <c r="M28" s="142"/>
      <c r="N28" s="77">
        <f t="shared" ref="N28:AC28" si="5">SUM(N16:N27)</f>
        <v>0</v>
      </c>
      <c r="O28" s="77">
        <f t="shared" si="5"/>
        <v>48</v>
      </c>
      <c r="P28" s="77">
        <f t="shared" si="5"/>
        <v>0</v>
      </c>
      <c r="Q28" s="77">
        <f t="shared" si="5"/>
        <v>0</v>
      </c>
      <c r="R28" s="77">
        <f t="shared" si="5"/>
        <v>0</v>
      </c>
      <c r="S28" s="77">
        <f t="shared" si="5"/>
        <v>0</v>
      </c>
      <c r="T28" s="77">
        <f t="shared" si="5"/>
        <v>0</v>
      </c>
      <c r="U28" s="77">
        <f t="shared" si="5"/>
        <v>0</v>
      </c>
      <c r="V28" s="77">
        <f t="shared" si="5"/>
        <v>0</v>
      </c>
      <c r="W28" s="77">
        <f t="shared" si="5"/>
        <v>0</v>
      </c>
      <c r="X28" s="77">
        <f t="shared" si="5"/>
        <v>0</v>
      </c>
      <c r="Y28" s="77">
        <f t="shared" si="5"/>
        <v>0</v>
      </c>
      <c r="Z28" s="77">
        <f t="shared" si="5"/>
        <v>0</v>
      </c>
      <c r="AA28" s="77">
        <f t="shared" si="5"/>
        <v>144</v>
      </c>
      <c r="AB28" s="77">
        <f t="shared" si="5"/>
        <v>0</v>
      </c>
      <c r="AC28" s="121">
        <f t="shared" si="5"/>
        <v>13430.4</v>
      </c>
    </row>
    <row r="29" spans="1:29" ht="17.25" customHeight="1" thickTop="1">
      <c r="A29" s="78" t="s">
        <v>142</v>
      </c>
    </row>
    <row r="30" spans="1:29" ht="7.5" customHeight="1" thickBot="1"/>
    <row r="31" spans="1:29" ht="15.6" customHeight="1">
      <c r="C31" s="79" t="s">
        <v>143</v>
      </c>
      <c r="D31" s="79" t="s">
        <v>144</v>
      </c>
      <c r="E31" s="79" t="s">
        <v>145</v>
      </c>
      <c r="F31" s="79" t="s">
        <v>146</v>
      </c>
      <c r="G31" s="79" t="s">
        <v>147</v>
      </c>
      <c r="H31" s="79" t="s">
        <v>148</v>
      </c>
      <c r="I31" s="80" t="s">
        <v>149</v>
      </c>
      <c r="N31" s="81" t="s">
        <v>150</v>
      </c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3"/>
    </row>
    <row r="32" spans="1:29" ht="16.5" customHeight="1" thickBot="1">
      <c r="A32" s="84"/>
      <c r="B32" s="84"/>
      <c r="C32" s="85"/>
      <c r="D32" s="85"/>
      <c r="E32" s="85"/>
      <c r="F32" s="85"/>
      <c r="G32" s="85"/>
      <c r="H32" s="85"/>
      <c r="I32" s="85"/>
      <c r="J32" s="86"/>
      <c r="K32" s="112"/>
      <c r="L32" s="112"/>
      <c r="N32" s="133" t="s">
        <v>262</v>
      </c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2"/>
    </row>
    <row r="33" spans="1:28" ht="27.75" customHeight="1" thickBot="1">
      <c r="A33" s="87" t="s">
        <v>151</v>
      </c>
      <c r="B33" s="87" t="s">
        <v>152</v>
      </c>
      <c r="C33" s="66" t="s">
        <v>153</v>
      </c>
      <c r="D33" s="66" t="s">
        <v>153</v>
      </c>
      <c r="E33" s="66" t="s">
        <v>153</v>
      </c>
      <c r="F33" s="66" t="s">
        <v>153</v>
      </c>
      <c r="G33" s="66" t="s">
        <v>153</v>
      </c>
      <c r="H33" s="66" t="s">
        <v>153</v>
      </c>
      <c r="I33" s="66" t="s">
        <v>153</v>
      </c>
      <c r="J33" s="104" t="s">
        <v>154</v>
      </c>
      <c r="K33" s="113" t="s">
        <v>155</v>
      </c>
      <c r="L33" s="113" t="s">
        <v>156</v>
      </c>
      <c r="M33" s="116" t="s">
        <v>157</v>
      </c>
      <c r="N33" s="134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2"/>
    </row>
    <row r="34" spans="1:28" ht="14.45" customHeight="1" thickBot="1">
      <c r="A34" s="88" t="s">
        <v>158</v>
      </c>
      <c r="B34" s="106" t="s">
        <v>159</v>
      </c>
      <c r="C34" s="69"/>
      <c r="D34" s="69">
        <v>0</v>
      </c>
      <c r="E34" s="69">
        <v>16</v>
      </c>
      <c r="F34" s="69">
        <v>0</v>
      </c>
      <c r="G34" s="69"/>
      <c r="H34" s="69"/>
      <c r="I34" s="69"/>
      <c r="J34" s="105">
        <f t="shared" ref="J34:J42" si="6">IFERROR(SUM(C34:I34),0)</f>
        <v>16</v>
      </c>
      <c r="K34" s="114">
        <f t="shared" ref="K34:K42" si="7">IFERROR(VLOOKUP(A34,EquipmentRateTable,2,FALSE),0)</f>
        <v>48</v>
      </c>
      <c r="L34" s="117">
        <f t="shared" ref="L34:L42" si="8">IFERROR(J34*K34,0)</f>
        <v>768</v>
      </c>
      <c r="M34" s="111"/>
      <c r="N34" s="90" t="s">
        <v>143</v>
      </c>
      <c r="O34" s="146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4"/>
    </row>
    <row r="35" spans="1:28" ht="15" customHeight="1" thickBot="1">
      <c r="A35" s="88" t="s">
        <v>160</v>
      </c>
      <c r="B35" s="106" t="s">
        <v>161</v>
      </c>
      <c r="C35" s="69"/>
      <c r="D35" s="69">
        <v>0</v>
      </c>
      <c r="E35" s="69">
        <v>16</v>
      </c>
      <c r="F35" s="69">
        <v>0</v>
      </c>
      <c r="G35" s="69"/>
      <c r="H35" s="69"/>
      <c r="I35" s="69"/>
      <c r="J35" s="105">
        <f t="shared" si="6"/>
        <v>16</v>
      </c>
      <c r="K35" s="114">
        <f t="shared" si="7"/>
        <v>67.2</v>
      </c>
      <c r="L35" s="118">
        <f t="shared" si="8"/>
        <v>1075.2</v>
      </c>
      <c r="M35" s="111"/>
      <c r="N35" s="91"/>
      <c r="O35" s="147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9"/>
    </row>
    <row r="36" spans="1:28" ht="14.45" customHeight="1" thickBot="1">
      <c r="A36" s="88" t="s">
        <v>162</v>
      </c>
      <c r="B36" s="106" t="s">
        <v>163</v>
      </c>
      <c r="C36" s="69"/>
      <c r="D36" s="69">
        <v>0</v>
      </c>
      <c r="E36" s="69">
        <v>16</v>
      </c>
      <c r="F36" s="69">
        <v>0</v>
      </c>
      <c r="G36" s="69"/>
      <c r="H36" s="69"/>
      <c r="I36" s="69"/>
      <c r="J36" s="105">
        <f t="shared" si="6"/>
        <v>16</v>
      </c>
      <c r="K36" s="114">
        <f t="shared" si="7"/>
        <v>13.5</v>
      </c>
      <c r="L36" s="118">
        <f t="shared" si="8"/>
        <v>216</v>
      </c>
      <c r="M36" s="111"/>
      <c r="N36" s="90" t="s">
        <v>144</v>
      </c>
      <c r="O36" s="137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4"/>
    </row>
    <row r="37" spans="1:28" ht="15" customHeight="1" thickBot="1">
      <c r="A37" s="88" t="s">
        <v>164</v>
      </c>
      <c r="B37" s="106" t="s">
        <v>165</v>
      </c>
      <c r="C37" s="69"/>
      <c r="D37" s="69">
        <v>0</v>
      </c>
      <c r="E37" s="69">
        <v>16</v>
      </c>
      <c r="F37" s="69">
        <v>0</v>
      </c>
      <c r="G37" s="69"/>
      <c r="H37" s="69"/>
      <c r="I37" s="69"/>
      <c r="J37" s="105">
        <f t="shared" si="6"/>
        <v>16</v>
      </c>
      <c r="K37" s="114">
        <f t="shared" si="7"/>
        <v>25.2</v>
      </c>
      <c r="L37" s="118">
        <f t="shared" si="8"/>
        <v>403.2</v>
      </c>
      <c r="M37" s="111"/>
      <c r="N37" s="91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9"/>
    </row>
    <row r="38" spans="1:28" ht="16.5" customHeight="1" thickBot="1">
      <c r="A38" s="88"/>
      <c r="B38" s="89"/>
      <c r="C38" s="69"/>
      <c r="D38" s="69"/>
      <c r="E38" s="69"/>
      <c r="F38" s="69"/>
      <c r="G38" s="69"/>
      <c r="H38" s="69"/>
      <c r="I38" s="69"/>
      <c r="J38" s="105">
        <f t="shared" si="6"/>
        <v>0</v>
      </c>
      <c r="K38" s="114">
        <f t="shared" si="7"/>
        <v>0</v>
      </c>
      <c r="L38" s="118">
        <f t="shared" si="8"/>
        <v>0</v>
      </c>
      <c r="M38" s="111"/>
      <c r="N38" s="90" t="s">
        <v>145</v>
      </c>
      <c r="O38" s="130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2"/>
    </row>
    <row r="39" spans="1:28" ht="16.5" customHeight="1" thickBot="1">
      <c r="A39" s="92"/>
      <c r="B39" s="93"/>
      <c r="C39" s="69"/>
      <c r="D39" s="69"/>
      <c r="E39" s="69"/>
      <c r="F39" s="69"/>
      <c r="G39" s="69"/>
      <c r="H39" s="69"/>
      <c r="I39" s="69"/>
      <c r="J39" s="105">
        <f t="shared" si="6"/>
        <v>0</v>
      </c>
      <c r="K39" s="114">
        <f t="shared" si="7"/>
        <v>0</v>
      </c>
      <c r="L39" s="118">
        <f t="shared" si="8"/>
        <v>0</v>
      </c>
      <c r="M39" s="111"/>
      <c r="N39" s="9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2"/>
    </row>
    <row r="40" spans="1:28" ht="16.5" customHeight="1" thickBot="1">
      <c r="A40" s="88"/>
      <c r="B40" s="89"/>
      <c r="C40" s="69"/>
      <c r="D40" s="69"/>
      <c r="E40" s="69"/>
      <c r="F40" s="69"/>
      <c r="G40" s="69"/>
      <c r="H40" s="69"/>
      <c r="I40" s="69"/>
      <c r="J40" s="105">
        <f t="shared" si="6"/>
        <v>0</v>
      </c>
      <c r="K40" s="114">
        <f t="shared" si="7"/>
        <v>0</v>
      </c>
      <c r="L40" s="118">
        <f t="shared" si="8"/>
        <v>0</v>
      </c>
      <c r="M40" s="111"/>
      <c r="N40" s="90" t="s">
        <v>146</v>
      </c>
      <c r="O40" s="140" t="s">
        <v>261</v>
      </c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4"/>
    </row>
    <row r="41" spans="1:28" ht="16.5" customHeight="1" thickBot="1">
      <c r="A41" s="69"/>
      <c r="B41" s="94"/>
      <c r="C41" s="69"/>
      <c r="D41" s="69"/>
      <c r="E41" s="69"/>
      <c r="F41" s="69"/>
      <c r="G41" s="69"/>
      <c r="H41" s="69"/>
      <c r="I41" s="69"/>
      <c r="J41" s="105">
        <f t="shared" si="6"/>
        <v>0</v>
      </c>
      <c r="K41" s="114">
        <f t="shared" si="7"/>
        <v>0</v>
      </c>
      <c r="L41" s="118">
        <f t="shared" si="8"/>
        <v>0</v>
      </c>
      <c r="M41" s="111"/>
      <c r="N41" s="91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9"/>
    </row>
    <row r="42" spans="1:28" ht="16.5" customHeight="1" thickBot="1">
      <c r="A42" s="69"/>
      <c r="B42" s="94"/>
      <c r="C42" s="69"/>
      <c r="D42" s="69"/>
      <c r="E42" s="69"/>
      <c r="F42" s="69"/>
      <c r="G42" s="69"/>
      <c r="H42" s="69"/>
      <c r="I42" s="69"/>
      <c r="J42" s="105">
        <f t="shared" si="6"/>
        <v>0</v>
      </c>
      <c r="K42" s="114">
        <f t="shared" si="7"/>
        <v>0</v>
      </c>
      <c r="L42" s="118">
        <f t="shared" si="8"/>
        <v>0</v>
      </c>
      <c r="M42" s="111"/>
      <c r="N42" s="90" t="s">
        <v>147</v>
      </c>
      <c r="O42" s="130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2"/>
    </row>
    <row r="43" spans="1:28" ht="17.25" customHeight="1" thickBot="1">
      <c r="A43" s="95"/>
      <c r="B43" s="95"/>
      <c r="C43" s="77">
        <f t="shared" ref="C43:J43" si="9">SUM(C34:C42)</f>
        <v>0</v>
      </c>
      <c r="D43" s="77">
        <f t="shared" si="9"/>
        <v>0</v>
      </c>
      <c r="E43" s="77">
        <f t="shared" si="9"/>
        <v>64</v>
      </c>
      <c r="F43" s="77">
        <f t="shared" si="9"/>
        <v>0</v>
      </c>
      <c r="G43" s="77">
        <f t="shared" si="9"/>
        <v>0</v>
      </c>
      <c r="H43" s="77">
        <f t="shared" si="9"/>
        <v>0</v>
      </c>
      <c r="I43" s="77">
        <f t="shared" si="9"/>
        <v>0</v>
      </c>
      <c r="J43" s="77">
        <f t="shared" si="9"/>
        <v>64</v>
      </c>
      <c r="K43" s="115"/>
      <c r="L43" s="119">
        <f>SUM(L34:L42)</f>
        <v>2462.3999999999996</v>
      </c>
      <c r="M43" s="111">
        <f>IFERROR(J28*_xlfn.XLOOKUP(_xlfn.XLOOKUP(A28,EquipmentLookup[Equipment ID],EquipmentLookup[Equipment Name]),EquipmentRates[EquipmentRates],EquipmentRates[Rate (HR)]),0)</f>
        <v>0</v>
      </c>
      <c r="N43" s="9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2"/>
    </row>
    <row r="44" spans="1:28" ht="18" customHeight="1" thickTop="1" thickBot="1">
      <c r="N44" s="90" t="s">
        <v>148</v>
      </c>
      <c r="O44" s="140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4"/>
    </row>
    <row r="45" spans="1:28" ht="16.5" customHeight="1">
      <c r="A45" s="96" t="s">
        <v>166</v>
      </c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8"/>
      <c r="N45" s="91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9"/>
    </row>
    <row r="46" spans="1:28" ht="16.5" customHeight="1" thickBot="1">
      <c r="A46" s="135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2"/>
      <c r="N46" s="90" t="s">
        <v>149</v>
      </c>
      <c r="O46" s="122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4"/>
    </row>
    <row r="47" spans="1:28" ht="17.25" customHeight="1" thickBot="1">
      <c r="A47" s="136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6"/>
      <c r="N47" s="99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6"/>
    </row>
  </sheetData>
  <mergeCells count="25">
    <mergeCell ref="AC12:AC14"/>
    <mergeCell ref="K18:M18"/>
    <mergeCell ref="O34:AB35"/>
    <mergeCell ref="K16:M16"/>
    <mergeCell ref="K25:M25"/>
    <mergeCell ref="K15:M15"/>
    <mergeCell ref="K24:M24"/>
    <mergeCell ref="K20:M20"/>
    <mergeCell ref="K21:M21"/>
    <mergeCell ref="K26:M26"/>
    <mergeCell ref="Z12:AB12"/>
    <mergeCell ref="O46:AB47"/>
    <mergeCell ref="K23:M23"/>
    <mergeCell ref="O42:AB43"/>
    <mergeCell ref="N32:AB33"/>
    <mergeCell ref="K17:M17"/>
    <mergeCell ref="A46:M47"/>
    <mergeCell ref="K19:M19"/>
    <mergeCell ref="O38:AB39"/>
    <mergeCell ref="O36:AB37"/>
    <mergeCell ref="O44:AB45"/>
    <mergeCell ref="K22:M22"/>
    <mergeCell ref="L28:M28"/>
    <mergeCell ref="O40:AB41"/>
    <mergeCell ref="K27:M27"/>
  </mergeCells>
  <dataValidations count="3">
    <dataValidation type="list" allowBlank="1" showInputMessage="1" showErrorMessage="1" sqref="B16" xr:uid="{00000000-0002-0000-0300-000000000000}">
      <formula1>INDIRECT("Laborrates[Classification]")</formula1>
    </dataValidation>
    <dataValidation type="list" allowBlank="1" sqref="B16:B27" xr:uid="{00000000-0002-0000-0300-000001000000}">
      <formula1>LaborClassList</formula1>
    </dataValidation>
    <dataValidation type="list" allowBlank="1" sqref="A34:A42" xr:uid="{00000000-0002-0000-0300-000002000000}">
      <formula1>EquipmentList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3"/>
  <sheetViews>
    <sheetView workbookViewId="0">
      <selection sqref="A1:XFD1048576"/>
    </sheetView>
  </sheetViews>
  <sheetFormatPr defaultRowHeight="15"/>
  <cols>
    <col min="1" max="1" width="40" customWidth="1"/>
    <col min="2" max="2" width="18.5703125" customWidth="1"/>
    <col min="3" max="4" width="12" customWidth="1"/>
    <col min="5" max="13" width="11" customWidth="1"/>
    <col min="14" max="103" width="12" customWidth="1"/>
    <col min="104" max="1003" width="13" customWidth="1"/>
    <col min="1004" max="10003" width="14" customWidth="1"/>
    <col min="10004" max="16384" width="15" customWidth="1"/>
  </cols>
  <sheetData>
    <row r="1" spans="1:4">
      <c r="A1" t="s">
        <v>167</v>
      </c>
    </row>
    <row r="2" spans="1:4">
      <c r="A2" t="s">
        <v>168</v>
      </c>
      <c r="B2" t="s">
        <v>169</v>
      </c>
      <c r="C2" t="s">
        <v>170</v>
      </c>
      <c r="D2" t="s">
        <v>171</v>
      </c>
    </row>
    <row r="3" spans="1:4">
      <c r="A3" t="s">
        <v>19</v>
      </c>
      <c r="B3">
        <v>79.8</v>
      </c>
      <c r="C3">
        <v>111.6</v>
      </c>
      <c r="D3">
        <v>144</v>
      </c>
    </row>
    <row r="4" spans="1:4">
      <c r="A4" t="s">
        <v>138</v>
      </c>
      <c r="B4">
        <v>73.8</v>
      </c>
      <c r="C4">
        <v>96</v>
      </c>
      <c r="D4">
        <v>122.4</v>
      </c>
    </row>
    <row r="5" spans="1:4">
      <c r="A5" t="s">
        <v>172</v>
      </c>
      <c r="B5">
        <v>64.8</v>
      </c>
      <c r="C5">
        <v>91.2</v>
      </c>
      <c r="D5">
        <v>115.8</v>
      </c>
    </row>
    <row r="6" spans="1:4">
      <c r="A6" t="s">
        <v>26</v>
      </c>
      <c r="B6">
        <v>61.2</v>
      </c>
      <c r="C6">
        <v>84</v>
      </c>
      <c r="D6">
        <v>107.4</v>
      </c>
    </row>
    <row r="7" spans="1:4">
      <c r="A7" t="s">
        <v>173</v>
      </c>
      <c r="B7">
        <v>60</v>
      </c>
      <c r="C7">
        <v>78</v>
      </c>
      <c r="D7">
        <v>100.2</v>
      </c>
    </row>
    <row r="8" spans="1:4">
      <c r="A8" t="s">
        <v>174</v>
      </c>
      <c r="B8">
        <v>58.2</v>
      </c>
      <c r="C8">
        <v>75.599999999999994</v>
      </c>
      <c r="D8">
        <v>97.2</v>
      </c>
    </row>
    <row r="9" spans="1:4">
      <c r="A9" t="s">
        <v>175</v>
      </c>
      <c r="B9">
        <v>48</v>
      </c>
      <c r="C9">
        <v>72</v>
      </c>
      <c r="D9">
        <v>93</v>
      </c>
    </row>
    <row r="10" spans="1:4">
      <c r="A10" t="s">
        <v>139</v>
      </c>
      <c r="B10">
        <v>68.400000000000006</v>
      </c>
      <c r="C10">
        <v>89.4</v>
      </c>
      <c r="D10">
        <v>114</v>
      </c>
    </row>
    <row r="12" spans="1:4">
      <c r="A12" t="s">
        <v>176</v>
      </c>
    </row>
    <row r="13" spans="1:4">
      <c r="A13" t="s">
        <v>177</v>
      </c>
      <c r="B13" t="s">
        <v>178</v>
      </c>
    </row>
    <row r="14" spans="1:4">
      <c r="A14" t="s">
        <v>162</v>
      </c>
      <c r="B14">
        <v>13.5</v>
      </c>
    </row>
    <row r="15" spans="1:4">
      <c r="A15" t="s">
        <v>179</v>
      </c>
      <c r="B15">
        <v>33.6</v>
      </c>
    </row>
    <row r="16" spans="1:4">
      <c r="A16" t="s">
        <v>180</v>
      </c>
      <c r="B16">
        <v>38.4</v>
      </c>
    </row>
    <row r="17" spans="1:2">
      <c r="A17" t="s">
        <v>181</v>
      </c>
      <c r="B17">
        <v>32.4</v>
      </c>
    </row>
    <row r="18" spans="1:2">
      <c r="A18" t="s">
        <v>182</v>
      </c>
      <c r="B18">
        <v>41.4</v>
      </c>
    </row>
    <row r="19" spans="1:2">
      <c r="A19" t="s">
        <v>158</v>
      </c>
      <c r="B19">
        <v>48</v>
      </c>
    </row>
    <row r="20" spans="1:2">
      <c r="A20" t="s">
        <v>183</v>
      </c>
      <c r="B20">
        <v>42</v>
      </c>
    </row>
    <row r="21" spans="1:2">
      <c r="A21" t="s">
        <v>184</v>
      </c>
      <c r="B21">
        <v>43.2</v>
      </c>
    </row>
    <row r="22" spans="1:2">
      <c r="A22" t="s">
        <v>185</v>
      </c>
      <c r="B22">
        <v>54</v>
      </c>
    </row>
    <row r="23" spans="1:2">
      <c r="A23" t="s">
        <v>186</v>
      </c>
      <c r="B23">
        <v>33.6</v>
      </c>
    </row>
    <row r="24" spans="1:2">
      <c r="A24" t="s">
        <v>187</v>
      </c>
      <c r="B24">
        <v>33.6</v>
      </c>
    </row>
    <row r="25" spans="1:2">
      <c r="A25" t="s">
        <v>188</v>
      </c>
      <c r="B25">
        <v>38.4</v>
      </c>
    </row>
    <row r="26" spans="1:2">
      <c r="A26" t="s">
        <v>189</v>
      </c>
      <c r="B26">
        <v>54.6</v>
      </c>
    </row>
    <row r="27" spans="1:2">
      <c r="A27" t="s">
        <v>190</v>
      </c>
      <c r="B27">
        <v>43.2</v>
      </c>
    </row>
    <row r="28" spans="1:2">
      <c r="A28" t="s">
        <v>191</v>
      </c>
      <c r="B28">
        <v>20.100000000000001</v>
      </c>
    </row>
    <row r="29" spans="1:2">
      <c r="A29" t="s">
        <v>192</v>
      </c>
      <c r="B29">
        <v>21.6</v>
      </c>
    </row>
    <row r="30" spans="1:2">
      <c r="A30" t="s">
        <v>193</v>
      </c>
      <c r="B30">
        <v>22.2</v>
      </c>
    </row>
    <row r="31" spans="1:2">
      <c r="A31" t="s">
        <v>164</v>
      </c>
      <c r="B31">
        <v>25.2</v>
      </c>
    </row>
    <row r="32" spans="1:2">
      <c r="A32" t="s">
        <v>194</v>
      </c>
      <c r="B32">
        <v>61.2</v>
      </c>
    </row>
    <row r="33" spans="1:2">
      <c r="A33" t="s">
        <v>195</v>
      </c>
      <c r="B33">
        <v>43.8</v>
      </c>
    </row>
    <row r="34" spans="1:2">
      <c r="A34" t="s">
        <v>196</v>
      </c>
      <c r="B34">
        <v>48</v>
      </c>
    </row>
    <row r="35" spans="1:2">
      <c r="A35" t="s">
        <v>197</v>
      </c>
      <c r="B35">
        <v>57.6</v>
      </c>
    </row>
    <row r="36" spans="1:2">
      <c r="A36" t="s">
        <v>198</v>
      </c>
      <c r="B36">
        <v>86.4</v>
      </c>
    </row>
    <row r="37" spans="1:2">
      <c r="A37" t="s">
        <v>199</v>
      </c>
      <c r="B37">
        <v>30</v>
      </c>
    </row>
    <row r="38" spans="1:2">
      <c r="A38" t="s">
        <v>200</v>
      </c>
      <c r="B38">
        <v>31.8</v>
      </c>
    </row>
    <row r="39" spans="1:2">
      <c r="A39" t="s">
        <v>201</v>
      </c>
      <c r="B39">
        <v>50.4</v>
      </c>
    </row>
    <row r="40" spans="1:2">
      <c r="A40" t="s">
        <v>202</v>
      </c>
      <c r="B40">
        <v>13.8</v>
      </c>
    </row>
    <row r="41" spans="1:2">
      <c r="A41" t="s">
        <v>203</v>
      </c>
      <c r="B41">
        <v>49.2</v>
      </c>
    </row>
    <row r="42" spans="1:2">
      <c r="A42" t="s">
        <v>204</v>
      </c>
      <c r="B42">
        <v>48</v>
      </c>
    </row>
    <row r="43" spans="1:2">
      <c r="A43" t="s">
        <v>205</v>
      </c>
      <c r="B43">
        <v>98.4</v>
      </c>
    </row>
    <row r="44" spans="1:2">
      <c r="A44" t="s">
        <v>206</v>
      </c>
      <c r="B44">
        <v>168</v>
      </c>
    </row>
    <row r="45" spans="1:2">
      <c r="A45" t="s">
        <v>207</v>
      </c>
      <c r="B45">
        <v>88.2</v>
      </c>
    </row>
    <row r="46" spans="1:2">
      <c r="A46" t="s">
        <v>208</v>
      </c>
      <c r="B46">
        <v>110.4</v>
      </c>
    </row>
    <row r="47" spans="1:2">
      <c r="A47" t="s">
        <v>160</v>
      </c>
      <c r="B47">
        <v>67.2</v>
      </c>
    </row>
    <row r="48" spans="1:2">
      <c r="A48" t="s">
        <v>209</v>
      </c>
      <c r="B48">
        <v>36</v>
      </c>
    </row>
    <row r="49" spans="1:4">
      <c r="A49" t="s">
        <v>210</v>
      </c>
      <c r="B49">
        <v>20.16</v>
      </c>
    </row>
    <row r="50" spans="1:4">
      <c r="A50" t="s">
        <v>211</v>
      </c>
      <c r="B50">
        <v>103.2</v>
      </c>
    </row>
    <row r="51" spans="1:4">
      <c r="A51" t="s">
        <v>212</v>
      </c>
      <c r="B51">
        <v>84</v>
      </c>
    </row>
    <row r="52" spans="1:4">
      <c r="A52" t="s">
        <v>213</v>
      </c>
      <c r="B52">
        <v>50.4</v>
      </c>
    </row>
    <row r="53" spans="1:4">
      <c r="A53" t="s">
        <v>214</v>
      </c>
      <c r="B53">
        <v>223.2</v>
      </c>
    </row>
    <row r="54" spans="1:4">
      <c r="A54" t="s">
        <v>215</v>
      </c>
      <c r="B54">
        <v>45.6</v>
      </c>
    </row>
    <row r="55" spans="1:4">
      <c r="A55" t="s">
        <v>216</v>
      </c>
      <c r="B55">
        <v>110.4</v>
      </c>
    </row>
    <row r="56" spans="1:4">
      <c r="A56" t="s">
        <v>217</v>
      </c>
      <c r="B56">
        <v>134.4</v>
      </c>
    </row>
    <row r="57" spans="1:4">
      <c r="A57" t="s">
        <v>218</v>
      </c>
      <c r="B57">
        <v>163.19999999999999</v>
      </c>
    </row>
    <row r="58" spans="1:4">
      <c r="A58" t="s">
        <v>219</v>
      </c>
      <c r="B58">
        <v>144</v>
      </c>
    </row>
    <row r="59" spans="1:4">
      <c r="A59" t="s">
        <v>220</v>
      </c>
      <c r="B59">
        <v>24</v>
      </c>
    </row>
    <row r="61" spans="1:4">
      <c r="A61" t="s">
        <v>221</v>
      </c>
      <c r="C61" s="109"/>
      <c r="D61" s="109"/>
    </row>
    <row r="62" spans="1:4">
      <c r="A62" s="108" t="s">
        <v>222</v>
      </c>
      <c r="C62" s="110"/>
      <c r="D62" s="110"/>
    </row>
    <row r="63" spans="1:4">
      <c r="A63" s="108" t="s">
        <v>223</v>
      </c>
      <c r="C63" s="110"/>
      <c r="D63" s="110"/>
    </row>
    <row r="64" spans="1:4">
      <c r="A64" s="108" t="s">
        <v>224</v>
      </c>
      <c r="C64" s="110"/>
      <c r="D64" s="110"/>
    </row>
    <row r="65" spans="1:4">
      <c r="A65" s="108" t="s">
        <v>225</v>
      </c>
      <c r="C65" s="110"/>
      <c r="D65" s="110"/>
    </row>
    <row r="66" spans="1:4">
      <c r="A66" s="108" t="s">
        <v>226</v>
      </c>
    </row>
    <row r="67" spans="1:4">
      <c r="A67" s="108" t="s">
        <v>227</v>
      </c>
    </row>
    <row r="68" spans="1:4">
      <c r="A68" s="108" t="s">
        <v>228</v>
      </c>
    </row>
    <row r="69" spans="1:4">
      <c r="A69" s="108" t="s">
        <v>229</v>
      </c>
    </row>
    <row r="70" spans="1:4">
      <c r="A70" s="108" t="s">
        <v>230</v>
      </c>
    </row>
    <row r="71" spans="1:4">
      <c r="A71" s="108" t="s">
        <v>231</v>
      </c>
    </row>
    <row r="72" spans="1:4">
      <c r="A72" s="108" t="s">
        <v>232</v>
      </c>
    </row>
    <row r="73" spans="1:4">
      <c r="A73" s="108" t="s">
        <v>233</v>
      </c>
    </row>
    <row r="74" spans="1:4">
      <c r="A74" t="s">
        <v>234</v>
      </c>
    </row>
    <row r="75" spans="1:4">
      <c r="A75" t="s">
        <v>235</v>
      </c>
    </row>
    <row r="76" spans="1:4">
      <c r="A76" t="s">
        <v>236</v>
      </c>
    </row>
    <row r="77" spans="1:4">
      <c r="A77" t="s">
        <v>237</v>
      </c>
    </row>
    <row r="78" spans="1:4">
      <c r="A78" t="s">
        <v>238</v>
      </c>
    </row>
    <row r="79" spans="1:4">
      <c r="A79" t="s">
        <v>239</v>
      </c>
    </row>
    <row r="80" spans="1:4">
      <c r="A80" t="s">
        <v>240</v>
      </c>
    </row>
    <row r="81" spans="1:3">
      <c r="A81" t="s">
        <v>241</v>
      </c>
    </row>
    <row r="83" spans="1:3">
      <c r="A83" s="109"/>
      <c r="B83" s="109"/>
    </row>
    <row r="84" spans="1:3">
      <c r="A84" s="110"/>
      <c r="B84" s="110"/>
    </row>
    <row r="85" spans="1:3">
      <c r="A85" s="109" t="s">
        <v>221</v>
      </c>
      <c r="B85" s="109" t="s">
        <v>242</v>
      </c>
    </row>
    <row r="86" spans="1:3">
      <c r="A86" s="110" t="s">
        <v>243</v>
      </c>
      <c r="B86" s="110" t="s">
        <v>158</v>
      </c>
    </row>
    <row r="87" spans="1:3">
      <c r="A87" s="110" t="s">
        <v>244</v>
      </c>
      <c r="B87" s="110" t="s">
        <v>160</v>
      </c>
    </row>
    <row r="88" spans="1:3">
      <c r="A88" s="110" t="s">
        <v>245</v>
      </c>
      <c r="B88" s="110" t="s">
        <v>162</v>
      </c>
    </row>
    <row r="89" spans="1:3" ht="30" customHeight="1">
      <c r="A89" s="110" t="s">
        <v>165</v>
      </c>
      <c r="B89" s="110" t="s">
        <v>164</v>
      </c>
    </row>
    <row r="92" spans="1:3">
      <c r="A92" s="109" t="s">
        <v>221</v>
      </c>
      <c r="B92" s="109" t="s">
        <v>242</v>
      </c>
      <c r="C92" s="109" t="s">
        <v>178</v>
      </c>
    </row>
    <row r="93" spans="1:3">
      <c r="A93" s="110" t="s">
        <v>243</v>
      </c>
      <c r="B93" s="110" t="s">
        <v>158</v>
      </c>
      <c r="C93" s="110">
        <v>48</v>
      </c>
    </row>
    <row r="94" spans="1:3">
      <c r="A94" s="110" t="s">
        <v>244</v>
      </c>
      <c r="B94" s="110" t="s">
        <v>160</v>
      </c>
      <c r="C94" s="110">
        <v>67.2</v>
      </c>
    </row>
    <row r="95" spans="1:3">
      <c r="A95" s="110" t="s">
        <v>245</v>
      </c>
      <c r="B95" s="110" t="s">
        <v>162</v>
      </c>
      <c r="C95" s="110">
        <v>13.5</v>
      </c>
    </row>
    <row r="96" spans="1:3" ht="30" customHeight="1">
      <c r="A96" s="110" t="s">
        <v>165</v>
      </c>
      <c r="B96" s="110" t="s">
        <v>164</v>
      </c>
      <c r="C96" s="110">
        <v>25.2</v>
      </c>
    </row>
    <row r="99" spans="1:2">
      <c r="A99" t="s">
        <v>242</v>
      </c>
      <c r="B99" t="s">
        <v>246</v>
      </c>
    </row>
    <row r="100" spans="1:2">
      <c r="A100" t="s">
        <v>158</v>
      </c>
      <c r="B100">
        <v>48</v>
      </c>
    </row>
    <row r="101" spans="1:2">
      <c r="A101" t="s">
        <v>160</v>
      </c>
      <c r="B101">
        <v>67.2</v>
      </c>
    </row>
    <row r="102" spans="1:2">
      <c r="A102" t="s">
        <v>162</v>
      </c>
      <c r="B102">
        <v>13.5</v>
      </c>
    </row>
    <row r="103" spans="1:2">
      <c r="A103" t="s">
        <v>164</v>
      </c>
      <c r="B103">
        <v>25.2</v>
      </c>
    </row>
  </sheetData>
  <pageMargins left="0.75" right="0.75" top="1" bottom="1" header="0.5" footer="0.5"/>
  <pageSetup orientation="portrait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Crew Roster</vt:lpstr>
      <vt:lpstr>Crew 1 Timesheet</vt:lpstr>
      <vt:lpstr>Crew 2 Timesheet</vt:lpstr>
      <vt:lpstr>Crew 3 TimeSheet</vt:lpstr>
      <vt:lpstr>Rates (GCC Exhibit A)</vt:lpstr>
      <vt:lpstr>EquipmentList</vt:lpstr>
      <vt:lpstr>EquipmentRateTable</vt:lpstr>
      <vt:lpstr>LaborClassList</vt:lpstr>
      <vt:lpstr>LaborRateTable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Shannon Wise</cp:lastModifiedBy>
  <cp:lastPrinted>2026-02-04T23:04:45Z</cp:lastPrinted>
  <dcterms:created xsi:type="dcterms:W3CDTF">2026-01-28T20:15:27Z</dcterms:created>
  <dcterms:modified xsi:type="dcterms:W3CDTF">2026-02-08T21:58:52Z</dcterms:modified>
</cp:coreProperties>
</file>